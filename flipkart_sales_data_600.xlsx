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0" yWindow="0" windowWidth="16380" windowHeight="8190" tabRatio="500" activeTab="2"/>
  </bookViews>
  <sheets>
    <sheet name="Sheet2" sheetId="3" r:id="rId1"/>
    <sheet name="Flipkart_Data" sheetId="1" r:id="rId2"/>
    <sheet name="flipkart_sales_data_600" sheetId="2" r:id="rId3"/>
  </sheets>
  <definedNames>
    <definedName name="_xlnm._FilterDatabase" localSheetId="1" hidden="1">Flipkart_Data!$A$1:$L$601</definedName>
    <definedName name="Slicer_Category">#N/A</definedName>
    <definedName name="Slicer_Month">#N/A</definedName>
    <definedName name="Slicer_Zone">#N/A</definedName>
  </definedNames>
  <calcPr calcId="144525" iterateDelta="1E-4"/>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L601" i="1" l="1"/>
  <c r="L600" i="1"/>
  <c r="L599" i="1"/>
  <c r="L598" i="1"/>
  <c r="L597" i="1"/>
  <c r="L596" i="1"/>
  <c r="L595" i="1"/>
  <c r="L594" i="1"/>
  <c r="L593" i="1"/>
  <c r="L592" i="1"/>
  <c r="L591" i="1"/>
  <c r="L590" i="1"/>
  <c r="L589" i="1"/>
  <c r="L588" i="1"/>
  <c r="L587" i="1"/>
  <c r="L586" i="1"/>
  <c r="L585" i="1"/>
  <c r="L584" i="1"/>
  <c r="L583" i="1"/>
  <c r="L582" i="1"/>
  <c r="L581" i="1"/>
  <c r="L580" i="1"/>
  <c r="L579" i="1"/>
  <c r="M578" i="1"/>
  <c r="L578" i="1"/>
  <c r="M577" i="1"/>
  <c r="L577" i="1"/>
  <c r="M576" i="1"/>
  <c r="L576" i="1"/>
  <c r="M575" i="1"/>
  <c r="L575" i="1"/>
  <c r="M574" i="1"/>
  <c r="L574" i="1"/>
  <c r="M573" i="1"/>
  <c r="L573" i="1"/>
  <c r="M572" i="1"/>
  <c r="L572" i="1"/>
  <c r="M571" i="1"/>
  <c r="L571" i="1"/>
  <c r="M570" i="1"/>
  <c r="L570" i="1"/>
  <c r="M569" i="1"/>
  <c r="L569" i="1"/>
  <c r="M568" i="1"/>
  <c r="L568" i="1"/>
  <c r="M567" i="1"/>
  <c r="L567" i="1"/>
  <c r="M566" i="1"/>
  <c r="L566" i="1"/>
  <c r="M565" i="1"/>
  <c r="L565" i="1"/>
  <c r="M564" i="1"/>
  <c r="L564" i="1"/>
  <c r="M563" i="1"/>
  <c r="L563" i="1"/>
  <c r="M562" i="1"/>
  <c r="L562" i="1"/>
  <c r="M561" i="1"/>
  <c r="L561" i="1"/>
  <c r="M560" i="1"/>
  <c r="L560" i="1"/>
  <c r="M559" i="1"/>
  <c r="L559" i="1"/>
  <c r="M558" i="1"/>
  <c r="L558" i="1"/>
  <c r="M557" i="1"/>
  <c r="L557" i="1"/>
  <c r="M556" i="1"/>
  <c r="L556" i="1"/>
  <c r="M555" i="1"/>
  <c r="L555" i="1"/>
  <c r="M554" i="1"/>
  <c r="L554" i="1"/>
  <c r="M553" i="1"/>
  <c r="L553" i="1"/>
  <c r="M552" i="1"/>
  <c r="L552" i="1"/>
  <c r="M551" i="1"/>
  <c r="L551" i="1"/>
  <c r="M550" i="1"/>
  <c r="L550" i="1"/>
  <c r="M549" i="1"/>
  <c r="L549" i="1"/>
  <c r="M548" i="1"/>
  <c r="L548" i="1"/>
  <c r="M547" i="1"/>
  <c r="L547" i="1"/>
  <c r="M546" i="1"/>
  <c r="L546" i="1"/>
  <c r="M545" i="1"/>
  <c r="L545" i="1"/>
  <c r="M544" i="1"/>
  <c r="L544" i="1"/>
  <c r="M543" i="1"/>
  <c r="L543" i="1"/>
  <c r="M542" i="1"/>
  <c r="L542" i="1"/>
  <c r="M541" i="1"/>
  <c r="L541" i="1"/>
  <c r="M540" i="1"/>
  <c r="L540" i="1"/>
  <c r="M539" i="1"/>
  <c r="L539" i="1"/>
  <c r="M538" i="1"/>
  <c r="L538" i="1"/>
  <c r="M537" i="1"/>
  <c r="L537" i="1"/>
  <c r="M536" i="1"/>
  <c r="L536" i="1"/>
  <c r="M535" i="1"/>
  <c r="L535" i="1"/>
  <c r="M534" i="1"/>
  <c r="L534" i="1"/>
  <c r="M533" i="1"/>
  <c r="L533" i="1"/>
  <c r="M532" i="1"/>
  <c r="L532" i="1"/>
  <c r="M531" i="1"/>
  <c r="L531" i="1"/>
  <c r="M530" i="1"/>
  <c r="L530" i="1"/>
  <c r="M529" i="1"/>
  <c r="L529" i="1"/>
  <c r="M528" i="1"/>
  <c r="L528" i="1"/>
  <c r="M527" i="1"/>
  <c r="L527" i="1"/>
  <c r="M526" i="1"/>
  <c r="L526" i="1"/>
  <c r="M525" i="1"/>
  <c r="L525" i="1"/>
  <c r="M524" i="1"/>
  <c r="L524" i="1"/>
  <c r="M523" i="1"/>
  <c r="L523" i="1"/>
  <c r="M522" i="1"/>
  <c r="L522" i="1"/>
  <c r="M521" i="1"/>
  <c r="L521" i="1"/>
  <c r="M520" i="1"/>
  <c r="L520" i="1"/>
  <c r="M519" i="1"/>
  <c r="L519" i="1"/>
  <c r="M518" i="1"/>
  <c r="L518" i="1"/>
  <c r="M517" i="1"/>
  <c r="L517" i="1"/>
  <c r="M516" i="1"/>
  <c r="L516" i="1"/>
  <c r="M515" i="1"/>
  <c r="L515" i="1"/>
  <c r="M514" i="1"/>
  <c r="L514" i="1"/>
  <c r="M513" i="1"/>
  <c r="L513" i="1"/>
  <c r="M512" i="1"/>
  <c r="L512" i="1"/>
  <c r="M511" i="1"/>
  <c r="L511" i="1"/>
  <c r="M510" i="1"/>
  <c r="L510" i="1"/>
  <c r="M509" i="1"/>
  <c r="L509" i="1"/>
  <c r="M508" i="1"/>
  <c r="L508" i="1"/>
  <c r="M507" i="1"/>
  <c r="L507" i="1"/>
  <c r="M506" i="1"/>
  <c r="L506" i="1"/>
  <c r="M505" i="1"/>
  <c r="L505" i="1"/>
  <c r="M504" i="1"/>
  <c r="L504" i="1"/>
  <c r="M503" i="1"/>
  <c r="L503" i="1"/>
  <c r="M502" i="1"/>
  <c r="L502" i="1"/>
  <c r="M501" i="1"/>
  <c r="L501" i="1"/>
  <c r="M500" i="1"/>
  <c r="L500" i="1"/>
  <c r="M499" i="1"/>
  <c r="L499" i="1"/>
  <c r="M498" i="1"/>
  <c r="L498" i="1"/>
  <c r="M497" i="1"/>
  <c r="L497" i="1"/>
  <c r="M496" i="1"/>
  <c r="L496" i="1"/>
  <c r="M495" i="1"/>
  <c r="L495" i="1"/>
  <c r="M494" i="1"/>
  <c r="L494" i="1"/>
  <c r="M493" i="1"/>
  <c r="L493" i="1"/>
  <c r="M492" i="1"/>
  <c r="L492" i="1"/>
  <c r="M491" i="1"/>
  <c r="L491" i="1"/>
  <c r="M490" i="1"/>
  <c r="L490" i="1"/>
  <c r="M489" i="1"/>
  <c r="L489" i="1"/>
  <c r="M488" i="1"/>
  <c r="L488" i="1"/>
  <c r="M487" i="1"/>
  <c r="L487" i="1"/>
  <c r="M486" i="1"/>
  <c r="L486" i="1"/>
  <c r="M485" i="1"/>
  <c r="L485" i="1"/>
  <c r="M484" i="1"/>
  <c r="L484" i="1"/>
  <c r="M483" i="1"/>
  <c r="L483" i="1"/>
  <c r="M482" i="1"/>
  <c r="L482" i="1"/>
  <c r="M481" i="1"/>
  <c r="L481" i="1"/>
  <c r="M480" i="1"/>
  <c r="L480" i="1"/>
  <c r="M479" i="1"/>
  <c r="L479" i="1"/>
  <c r="M478" i="1"/>
  <c r="L478" i="1"/>
  <c r="M477" i="1"/>
  <c r="L477" i="1"/>
  <c r="M476" i="1"/>
  <c r="L476" i="1"/>
  <c r="M475" i="1"/>
  <c r="L475" i="1"/>
  <c r="M474" i="1"/>
  <c r="L474" i="1"/>
  <c r="M473" i="1"/>
  <c r="L473" i="1"/>
  <c r="M472" i="1"/>
  <c r="L472" i="1"/>
  <c r="M471" i="1"/>
  <c r="L471" i="1"/>
  <c r="M470" i="1"/>
  <c r="L470" i="1"/>
  <c r="M469" i="1"/>
  <c r="L469" i="1"/>
  <c r="M468" i="1"/>
  <c r="L468" i="1"/>
  <c r="M467" i="1"/>
  <c r="L467" i="1"/>
  <c r="M466" i="1"/>
  <c r="L466" i="1"/>
  <c r="M465" i="1"/>
  <c r="L465" i="1"/>
  <c r="M464" i="1"/>
  <c r="L464" i="1"/>
  <c r="M463" i="1"/>
  <c r="L463" i="1"/>
  <c r="M462" i="1"/>
  <c r="L462" i="1"/>
  <c r="M461" i="1"/>
  <c r="L461" i="1"/>
  <c r="M460" i="1"/>
  <c r="L460" i="1"/>
  <c r="M459" i="1"/>
  <c r="L459" i="1"/>
  <c r="M458" i="1"/>
  <c r="L458" i="1"/>
  <c r="M457" i="1"/>
  <c r="L457" i="1"/>
  <c r="M456" i="1"/>
  <c r="L456" i="1"/>
  <c r="M455" i="1"/>
  <c r="L455" i="1"/>
  <c r="M454" i="1"/>
  <c r="L454" i="1"/>
  <c r="M453" i="1"/>
  <c r="L453" i="1"/>
  <c r="M452" i="1"/>
  <c r="L452" i="1"/>
  <c r="M451" i="1"/>
  <c r="L451" i="1"/>
  <c r="M450" i="1"/>
  <c r="L450" i="1"/>
  <c r="M449" i="1"/>
  <c r="L449" i="1"/>
  <c r="M448" i="1"/>
  <c r="L448" i="1"/>
  <c r="M447" i="1"/>
  <c r="L447" i="1"/>
  <c r="M446" i="1"/>
  <c r="L446" i="1"/>
  <c r="M445" i="1"/>
  <c r="L445" i="1"/>
  <c r="M444" i="1"/>
  <c r="L444" i="1"/>
  <c r="M443" i="1"/>
  <c r="L443" i="1"/>
  <c r="M442" i="1"/>
  <c r="L442" i="1"/>
  <c r="M441" i="1"/>
  <c r="L441" i="1"/>
  <c r="M440" i="1"/>
  <c r="L440" i="1"/>
  <c r="M439" i="1"/>
  <c r="L439" i="1"/>
  <c r="M438" i="1"/>
  <c r="L438" i="1"/>
  <c r="M437" i="1"/>
  <c r="L437" i="1"/>
  <c r="M436" i="1"/>
  <c r="L436" i="1"/>
  <c r="M435" i="1"/>
  <c r="L435" i="1"/>
  <c r="M434" i="1"/>
  <c r="L434" i="1"/>
  <c r="M433" i="1"/>
  <c r="L433" i="1"/>
  <c r="M432" i="1"/>
  <c r="L432" i="1"/>
  <c r="M431" i="1"/>
  <c r="L431" i="1"/>
  <c r="M430" i="1"/>
  <c r="L430" i="1"/>
  <c r="M429" i="1"/>
  <c r="L429" i="1"/>
  <c r="M428" i="1"/>
  <c r="L428" i="1"/>
  <c r="M427" i="1"/>
  <c r="L427" i="1"/>
  <c r="M426" i="1"/>
  <c r="L426" i="1"/>
  <c r="M425" i="1"/>
  <c r="L425" i="1"/>
  <c r="M424" i="1"/>
  <c r="L424" i="1"/>
  <c r="M423" i="1"/>
  <c r="L423" i="1"/>
  <c r="M422" i="1"/>
  <c r="L422" i="1"/>
  <c r="M421" i="1"/>
  <c r="L421" i="1"/>
  <c r="M420" i="1"/>
  <c r="L420" i="1"/>
  <c r="M419" i="1"/>
  <c r="L419" i="1"/>
  <c r="M418" i="1"/>
  <c r="L418" i="1"/>
  <c r="M417" i="1"/>
  <c r="L417" i="1"/>
  <c r="M416" i="1"/>
  <c r="L416" i="1"/>
  <c r="M415" i="1"/>
  <c r="L415" i="1"/>
  <c r="M414" i="1"/>
  <c r="L414" i="1"/>
  <c r="M413" i="1"/>
  <c r="L413" i="1"/>
  <c r="M412" i="1"/>
  <c r="L412" i="1"/>
  <c r="M411" i="1"/>
  <c r="L411" i="1"/>
  <c r="M410" i="1"/>
  <c r="L410" i="1"/>
  <c r="M409" i="1"/>
  <c r="L409" i="1"/>
  <c r="M408" i="1"/>
  <c r="L408" i="1"/>
  <c r="M407" i="1"/>
  <c r="L407" i="1"/>
  <c r="M406" i="1"/>
  <c r="L406" i="1"/>
  <c r="M405" i="1"/>
  <c r="L405" i="1"/>
  <c r="M404" i="1"/>
  <c r="L404" i="1"/>
  <c r="M403" i="1"/>
  <c r="L403" i="1"/>
  <c r="M402" i="1"/>
  <c r="L402" i="1"/>
  <c r="M401" i="1"/>
  <c r="L401" i="1"/>
  <c r="M400" i="1"/>
  <c r="L400" i="1"/>
  <c r="M399" i="1"/>
  <c r="L399" i="1"/>
  <c r="M398" i="1"/>
  <c r="L398" i="1"/>
  <c r="M397" i="1"/>
  <c r="L397" i="1"/>
  <c r="M396" i="1"/>
  <c r="L396" i="1"/>
  <c r="M395" i="1"/>
  <c r="L395" i="1"/>
  <c r="M394" i="1"/>
  <c r="L394" i="1"/>
  <c r="M393" i="1"/>
  <c r="L393" i="1"/>
  <c r="M392" i="1"/>
  <c r="L392" i="1"/>
  <c r="M391" i="1"/>
  <c r="L391" i="1"/>
  <c r="M390" i="1"/>
  <c r="L390" i="1"/>
  <c r="M389" i="1"/>
  <c r="L389" i="1"/>
  <c r="M388" i="1"/>
  <c r="L388" i="1"/>
  <c r="M387" i="1"/>
  <c r="L387" i="1"/>
  <c r="M386" i="1"/>
  <c r="L386" i="1"/>
  <c r="M385" i="1"/>
  <c r="L385" i="1"/>
  <c r="M384" i="1"/>
  <c r="L384" i="1"/>
  <c r="M383" i="1"/>
  <c r="L383" i="1"/>
  <c r="M382" i="1"/>
  <c r="L382" i="1"/>
  <c r="M381" i="1"/>
  <c r="L381" i="1"/>
  <c r="M380" i="1"/>
  <c r="L380" i="1"/>
  <c r="M379" i="1"/>
  <c r="L379" i="1"/>
  <c r="M378" i="1"/>
  <c r="L378" i="1"/>
  <c r="M377" i="1"/>
  <c r="L377" i="1"/>
  <c r="M376" i="1"/>
  <c r="L376" i="1"/>
  <c r="M375" i="1"/>
  <c r="L375" i="1"/>
  <c r="M374" i="1"/>
  <c r="L374" i="1"/>
  <c r="M373" i="1"/>
  <c r="L373" i="1"/>
  <c r="M372" i="1"/>
  <c r="L372" i="1"/>
  <c r="M371" i="1"/>
  <c r="L371" i="1"/>
  <c r="M370" i="1"/>
  <c r="L370" i="1"/>
  <c r="M369" i="1"/>
  <c r="L369" i="1"/>
  <c r="M368" i="1"/>
  <c r="L368" i="1"/>
  <c r="M367" i="1"/>
  <c r="L367" i="1"/>
  <c r="M366" i="1"/>
  <c r="L366" i="1"/>
  <c r="M365" i="1"/>
  <c r="L365" i="1"/>
  <c r="M364" i="1"/>
  <c r="L364" i="1"/>
  <c r="M363" i="1"/>
  <c r="L363" i="1"/>
  <c r="M362" i="1"/>
  <c r="L362" i="1"/>
  <c r="M361" i="1"/>
  <c r="L361" i="1"/>
  <c r="M360" i="1"/>
  <c r="L360" i="1"/>
  <c r="M359" i="1"/>
  <c r="L359" i="1"/>
  <c r="M358" i="1"/>
  <c r="L358" i="1"/>
  <c r="M357" i="1"/>
  <c r="L357" i="1"/>
  <c r="M356" i="1"/>
  <c r="L356" i="1"/>
  <c r="M355" i="1"/>
  <c r="L355" i="1"/>
  <c r="M354" i="1"/>
  <c r="L354" i="1"/>
  <c r="M353" i="1"/>
  <c r="L353" i="1"/>
  <c r="M352" i="1"/>
  <c r="L352" i="1"/>
  <c r="M351" i="1"/>
  <c r="L351" i="1"/>
  <c r="M350" i="1"/>
  <c r="L350" i="1"/>
  <c r="M349" i="1"/>
  <c r="L349" i="1"/>
  <c r="M348" i="1"/>
  <c r="L348" i="1"/>
  <c r="M347" i="1"/>
  <c r="L347" i="1"/>
  <c r="M346" i="1"/>
  <c r="L346" i="1"/>
  <c r="M345" i="1"/>
  <c r="L345" i="1"/>
  <c r="M344" i="1"/>
  <c r="L344" i="1"/>
  <c r="M343" i="1"/>
  <c r="L343" i="1"/>
  <c r="M342" i="1"/>
  <c r="L342" i="1"/>
  <c r="M341" i="1"/>
  <c r="L341" i="1"/>
  <c r="M340" i="1"/>
  <c r="L340" i="1"/>
  <c r="M339" i="1"/>
  <c r="L339" i="1"/>
  <c r="M338" i="1"/>
  <c r="L338" i="1"/>
  <c r="M337" i="1"/>
  <c r="L337" i="1"/>
  <c r="M336" i="1"/>
  <c r="L336" i="1"/>
  <c r="M335" i="1"/>
  <c r="L335" i="1"/>
  <c r="M334" i="1"/>
  <c r="L334" i="1"/>
  <c r="M333" i="1"/>
  <c r="L333" i="1"/>
  <c r="M332" i="1"/>
  <c r="L332" i="1"/>
  <c r="M331" i="1"/>
  <c r="L331" i="1"/>
  <c r="M330" i="1"/>
  <c r="L330" i="1"/>
  <c r="M329" i="1"/>
  <c r="L329" i="1"/>
  <c r="M328" i="1"/>
  <c r="L328" i="1"/>
  <c r="M327" i="1"/>
  <c r="L327" i="1"/>
  <c r="M326" i="1"/>
  <c r="L326" i="1"/>
  <c r="M325" i="1"/>
  <c r="L325" i="1"/>
  <c r="M324" i="1"/>
  <c r="L324" i="1"/>
  <c r="M323" i="1"/>
  <c r="L323" i="1"/>
  <c r="M322" i="1"/>
  <c r="L322" i="1"/>
  <c r="M321" i="1"/>
  <c r="L321" i="1"/>
  <c r="M320" i="1"/>
  <c r="L320" i="1"/>
  <c r="M319" i="1"/>
  <c r="L319" i="1"/>
  <c r="M318" i="1"/>
  <c r="L318" i="1"/>
  <c r="M317" i="1"/>
  <c r="L317" i="1"/>
  <c r="M316" i="1"/>
  <c r="L316" i="1"/>
  <c r="M315" i="1"/>
  <c r="L315" i="1"/>
  <c r="M314" i="1"/>
  <c r="L314" i="1"/>
  <c r="M313" i="1"/>
  <c r="L313" i="1"/>
  <c r="M312" i="1"/>
  <c r="L312" i="1"/>
  <c r="M311" i="1"/>
  <c r="L311" i="1"/>
  <c r="M310" i="1"/>
  <c r="L310" i="1"/>
  <c r="M309" i="1"/>
  <c r="L309" i="1"/>
  <c r="M308" i="1"/>
  <c r="L308" i="1"/>
  <c r="M307" i="1"/>
  <c r="L307" i="1"/>
  <c r="M306" i="1"/>
  <c r="L306" i="1"/>
  <c r="M305" i="1"/>
  <c r="L305" i="1"/>
  <c r="M304" i="1"/>
  <c r="L304" i="1"/>
  <c r="M303" i="1"/>
  <c r="L303" i="1"/>
  <c r="M302" i="1"/>
  <c r="L302" i="1"/>
  <c r="M301" i="1"/>
  <c r="L301" i="1"/>
  <c r="M300" i="1"/>
  <c r="L300" i="1"/>
  <c r="M299" i="1"/>
  <c r="L299" i="1"/>
  <c r="M298" i="1"/>
  <c r="L298" i="1"/>
  <c r="M297" i="1"/>
  <c r="L297" i="1"/>
  <c r="M296" i="1"/>
  <c r="L296" i="1"/>
  <c r="M295" i="1"/>
  <c r="L295" i="1"/>
  <c r="M294" i="1"/>
  <c r="L294" i="1"/>
  <c r="M293" i="1"/>
  <c r="L293" i="1"/>
  <c r="M292" i="1"/>
  <c r="L292" i="1"/>
  <c r="M291" i="1"/>
  <c r="L291" i="1"/>
  <c r="M290" i="1"/>
  <c r="L290" i="1"/>
  <c r="M289" i="1"/>
  <c r="L289" i="1"/>
  <c r="M288" i="1"/>
  <c r="L288" i="1"/>
  <c r="M287" i="1"/>
  <c r="L287" i="1"/>
  <c r="M286" i="1"/>
  <c r="L286" i="1"/>
  <c r="M285" i="1"/>
  <c r="L285" i="1"/>
  <c r="M284" i="1"/>
  <c r="L284" i="1"/>
  <c r="M283" i="1"/>
  <c r="L283" i="1"/>
  <c r="M282" i="1"/>
  <c r="L282" i="1"/>
  <c r="M281" i="1"/>
  <c r="L281" i="1"/>
  <c r="M280" i="1"/>
  <c r="L280" i="1"/>
  <c r="M279" i="1"/>
  <c r="L279" i="1"/>
  <c r="M278" i="1"/>
  <c r="L278" i="1"/>
  <c r="M277" i="1"/>
  <c r="L277" i="1"/>
  <c r="M276" i="1"/>
  <c r="L276" i="1"/>
  <c r="M275" i="1"/>
  <c r="L275" i="1"/>
  <c r="M274" i="1"/>
  <c r="L274" i="1"/>
  <c r="M273" i="1"/>
  <c r="L273" i="1"/>
  <c r="M272" i="1"/>
  <c r="L272" i="1"/>
  <c r="M271" i="1"/>
  <c r="L271" i="1"/>
  <c r="M270" i="1"/>
  <c r="L270" i="1"/>
  <c r="M269" i="1"/>
  <c r="L269" i="1"/>
  <c r="M268" i="1"/>
  <c r="L268" i="1"/>
  <c r="M267" i="1"/>
  <c r="L267" i="1"/>
  <c r="M266" i="1"/>
  <c r="L266" i="1"/>
  <c r="M265" i="1"/>
  <c r="L265" i="1"/>
  <c r="M264" i="1"/>
  <c r="L264" i="1"/>
  <c r="M263" i="1"/>
  <c r="L263" i="1"/>
  <c r="M262" i="1"/>
  <c r="L262" i="1"/>
  <c r="M261" i="1"/>
  <c r="L261" i="1"/>
  <c r="M260" i="1"/>
  <c r="L260" i="1"/>
  <c r="M259" i="1"/>
  <c r="L259" i="1"/>
  <c r="M258" i="1"/>
  <c r="L258" i="1"/>
  <c r="M257" i="1"/>
  <c r="L257" i="1"/>
  <c r="M256" i="1"/>
  <c r="L256" i="1"/>
  <c r="M255" i="1"/>
  <c r="L255" i="1"/>
  <c r="M254" i="1"/>
  <c r="L254" i="1"/>
  <c r="M253" i="1"/>
  <c r="L253" i="1"/>
  <c r="M252" i="1"/>
  <c r="L252" i="1"/>
  <c r="M251" i="1"/>
  <c r="L251" i="1"/>
  <c r="M250" i="1"/>
  <c r="L250" i="1"/>
  <c r="M249" i="1"/>
  <c r="L249" i="1"/>
  <c r="M248" i="1"/>
  <c r="L248" i="1"/>
  <c r="M247" i="1"/>
  <c r="L247" i="1"/>
  <c r="M246" i="1"/>
  <c r="L246" i="1"/>
  <c r="M245" i="1"/>
  <c r="L245" i="1"/>
  <c r="M244" i="1"/>
  <c r="L244" i="1"/>
  <c r="M243" i="1"/>
  <c r="L243" i="1"/>
  <c r="M242" i="1"/>
  <c r="L242" i="1"/>
  <c r="M241" i="1"/>
  <c r="L241" i="1"/>
  <c r="M240" i="1"/>
  <c r="L240" i="1"/>
  <c r="M239" i="1"/>
  <c r="L239" i="1"/>
  <c r="M238" i="1"/>
  <c r="L238" i="1"/>
  <c r="M237" i="1"/>
  <c r="L237" i="1"/>
  <c r="M236" i="1"/>
  <c r="L236" i="1"/>
  <c r="M235" i="1"/>
  <c r="L235" i="1"/>
  <c r="M234" i="1"/>
  <c r="L234" i="1"/>
  <c r="M233" i="1"/>
  <c r="L233" i="1"/>
  <c r="M232" i="1"/>
  <c r="L232" i="1"/>
  <c r="M231" i="1"/>
  <c r="L231" i="1"/>
  <c r="M230" i="1"/>
  <c r="L230" i="1"/>
  <c r="M229" i="1"/>
  <c r="L229" i="1"/>
  <c r="M228" i="1"/>
  <c r="L228" i="1"/>
  <c r="M227" i="1"/>
  <c r="L227" i="1"/>
  <c r="M226" i="1"/>
  <c r="L226" i="1"/>
  <c r="M225" i="1"/>
  <c r="L225" i="1"/>
  <c r="M224" i="1"/>
  <c r="L224" i="1"/>
  <c r="M223" i="1"/>
  <c r="L223" i="1"/>
  <c r="M222" i="1"/>
  <c r="L222" i="1"/>
  <c r="M221" i="1"/>
  <c r="L221" i="1"/>
  <c r="M220" i="1"/>
  <c r="L220" i="1"/>
  <c r="M219" i="1"/>
  <c r="L219" i="1"/>
  <c r="M218" i="1"/>
  <c r="L218" i="1"/>
  <c r="M217" i="1"/>
  <c r="L217" i="1"/>
  <c r="M216" i="1"/>
  <c r="L216" i="1"/>
  <c r="M215" i="1"/>
  <c r="L215" i="1"/>
  <c r="M214" i="1"/>
  <c r="L214" i="1"/>
  <c r="M213" i="1"/>
  <c r="L213" i="1"/>
  <c r="M212" i="1"/>
  <c r="L212" i="1"/>
  <c r="M211" i="1"/>
  <c r="L211" i="1"/>
  <c r="M210" i="1"/>
  <c r="L210" i="1"/>
  <c r="M209" i="1"/>
  <c r="L209" i="1"/>
  <c r="M208" i="1"/>
  <c r="L208" i="1"/>
  <c r="M207" i="1"/>
  <c r="L207" i="1"/>
  <c r="M206" i="1"/>
  <c r="L206" i="1"/>
  <c r="M205" i="1"/>
  <c r="L205" i="1"/>
  <c r="M204" i="1"/>
  <c r="L204" i="1"/>
  <c r="M203" i="1"/>
  <c r="L203" i="1"/>
  <c r="M202" i="1"/>
  <c r="L202" i="1"/>
  <c r="M201" i="1"/>
  <c r="L201" i="1"/>
  <c r="M200" i="1"/>
  <c r="L200" i="1"/>
  <c r="M199" i="1"/>
  <c r="L199" i="1"/>
  <c r="M198" i="1"/>
  <c r="L198" i="1"/>
  <c r="M197" i="1"/>
  <c r="L197" i="1"/>
  <c r="M196" i="1"/>
  <c r="L196" i="1"/>
  <c r="M195" i="1"/>
  <c r="L195" i="1"/>
  <c r="M194" i="1"/>
  <c r="L194" i="1"/>
  <c r="M193" i="1"/>
  <c r="L193" i="1"/>
  <c r="M192" i="1"/>
  <c r="L192" i="1"/>
  <c r="M191" i="1"/>
  <c r="L191" i="1"/>
  <c r="M190" i="1"/>
  <c r="L190" i="1"/>
  <c r="M189" i="1"/>
  <c r="L189" i="1"/>
  <c r="M188" i="1"/>
  <c r="L188" i="1"/>
  <c r="M187" i="1"/>
  <c r="L187" i="1"/>
  <c r="M186" i="1"/>
  <c r="L186" i="1"/>
  <c r="M185" i="1"/>
  <c r="L185" i="1"/>
  <c r="M184" i="1"/>
  <c r="L184" i="1"/>
  <c r="M183" i="1"/>
  <c r="L183" i="1"/>
  <c r="M182" i="1"/>
  <c r="L182" i="1"/>
  <c r="M181" i="1"/>
  <c r="L181" i="1"/>
  <c r="M180" i="1"/>
  <c r="L180" i="1"/>
  <c r="M179" i="1"/>
  <c r="L179" i="1"/>
  <c r="M178" i="1"/>
  <c r="L178" i="1"/>
  <c r="M177" i="1"/>
  <c r="L177" i="1"/>
  <c r="M176" i="1"/>
  <c r="L176" i="1"/>
  <c r="M175" i="1"/>
  <c r="L175" i="1"/>
  <c r="M174" i="1"/>
  <c r="L174" i="1"/>
  <c r="M173" i="1"/>
  <c r="L173" i="1"/>
  <c r="M172" i="1"/>
  <c r="L172" i="1"/>
  <c r="M171" i="1"/>
  <c r="L171" i="1"/>
  <c r="M170" i="1"/>
  <c r="L170" i="1"/>
  <c r="M169" i="1"/>
  <c r="L169" i="1"/>
  <c r="M168" i="1"/>
  <c r="L168" i="1"/>
  <c r="M167" i="1"/>
  <c r="L167" i="1"/>
  <c r="M166" i="1"/>
  <c r="L166" i="1"/>
  <c r="M165" i="1"/>
  <c r="L165" i="1"/>
  <c r="M164" i="1"/>
  <c r="L164" i="1"/>
  <c r="M163" i="1"/>
  <c r="L163" i="1"/>
  <c r="M162" i="1"/>
  <c r="L162" i="1"/>
  <c r="M161" i="1"/>
  <c r="L161" i="1"/>
  <c r="M160" i="1"/>
  <c r="L160" i="1"/>
  <c r="M159" i="1"/>
  <c r="L159" i="1"/>
  <c r="M158" i="1"/>
  <c r="L158" i="1"/>
  <c r="M157" i="1"/>
  <c r="L157" i="1"/>
  <c r="M156" i="1"/>
  <c r="L156" i="1"/>
  <c r="M155" i="1"/>
  <c r="L155" i="1"/>
  <c r="M154" i="1"/>
  <c r="L154" i="1"/>
  <c r="M153" i="1"/>
  <c r="L153" i="1"/>
  <c r="M152" i="1"/>
  <c r="L152" i="1"/>
  <c r="M151" i="1"/>
  <c r="L151" i="1"/>
  <c r="M150" i="1"/>
  <c r="L150" i="1"/>
  <c r="M149" i="1"/>
  <c r="L149" i="1"/>
  <c r="M148" i="1"/>
  <c r="L148" i="1"/>
  <c r="M147" i="1"/>
  <c r="L147" i="1"/>
  <c r="M146" i="1"/>
  <c r="L146" i="1"/>
  <c r="M145" i="1"/>
  <c r="L145" i="1"/>
  <c r="M144" i="1"/>
  <c r="L144" i="1"/>
  <c r="M143" i="1"/>
  <c r="L143" i="1"/>
  <c r="M142" i="1"/>
  <c r="L142" i="1"/>
  <c r="M141" i="1"/>
  <c r="L141" i="1"/>
  <c r="M140" i="1"/>
  <c r="L140" i="1"/>
  <c r="M139" i="1"/>
  <c r="L139" i="1"/>
  <c r="M138" i="1"/>
  <c r="L138" i="1"/>
  <c r="M137" i="1"/>
  <c r="L137" i="1"/>
  <c r="M136" i="1"/>
  <c r="L136" i="1"/>
  <c r="M135" i="1"/>
  <c r="L135" i="1"/>
  <c r="M134" i="1"/>
  <c r="L134" i="1"/>
  <c r="M133" i="1"/>
  <c r="L133" i="1"/>
  <c r="M132" i="1"/>
  <c r="L132" i="1"/>
  <c r="M131" i="1"/>
  <c r="L131" i="1"/>
  <c r="M130" i="1"/>
  <c r="L130" i="1"/>
  <c r="M129" i="1"/>
  <c r="L129" i="1"/>
  <c r="M128" i="1"/>
  <c r="L128" i="1"/>
  <c r="M127" i="1"/>
  <c r="L127" i="1"/>
  <c r="M126" i="1"/>
  <c r="L126" i="1"/>
  <c r="M125" i="1"/>
  <c r="L125" i="1"/>
  <c r="M124" i="1"/>
  <c r="L124" i="1"/>
  <c r="M123" i="1"/>
  <c r="L123" i="1"/>
  <c r="M122" i="1"/>
  <c r="L122" i="1"/>
  <c r="M121" i="1"/>
  <c r="L121" i="1"/>
  <c r="M120" i="1"/>
  <c r="L120" i="1"/>
  <c r="M119" i="1"/>
  <c r="L119" i="1"/>
  <c r="M118" i="1"/>
  <c r="L118" i="1"/>
  <c r="M117" i="1"/>
  <c r="L117" i="1"/>
  <c r="M116" i="1"/>
  <c r="L116" i="1"/>
  <c r="M115" i="1"/>
  <c r="L115" i="1"/>
  <c r="M114" i="1"/>
  <c r="L114" i="1"/>
  <c r="M113" i="1"/>
  <c r="L113" i="1"/>
  <c r="M112" i="1"/>
  <c r="L112" i="1"/>
  <c r="M111" i="1"/>
  <c r="L111" i="1"/>
  <c r="M110" i="1"/>
  <c r="L110" i="1"/>
  <c r="M109" i="1"/>
  <c r="L109" i="1"/>
  <c r="M108" i="1"/>
  <c r="L108" i="1"/>
  <c r="M107" i="1"/>
  <c r="L107" i="1"/>
  <c r="M106" i="1"/>
  <c r="L106" i="1"/>
  <c r="M105" i="1"/>
  <c r="L105" i="1"/>
  <c r="M104" i="1"/>
  <c r="L104" i="1"/>
  <c r="M103" i="1"/>
  <c r="L103" i="1"/>
  <c r="M102" i="1"/>
  <c r="L102" i="1"/>
  <c r="M101" i="1"/>
  <c r="L101" i="1"/>
  <c r="M100" i="1"/>
  <c r="L100" i="1"/>
  <c r="M99" i="1"/>
  <c r="L99" i="1"/>
  <c r="M98" i="1"/>
  <c r="L98" i="1"/>
  <c r="M97" i="1"/>
  <c r="L97" i="1"/>
  <c r="M96" i="1"/>
  <c r="L96" i="1"/>
  <c r="M95" i="1"/>
  <c r="L95" i="1"/>
  <c r="M94" i="1"/>
  <c r="L94" i="1"/>
  <c r="M93" i="1"/>
  <c r="L93" i="1"/>
  <c r="M92" i="1"/>
  <c r="L92" i="1"/>
  <c r="M91" i="1"/>
  <c r="L91" i="1"/>
  <c r="M90" i="1"/>
  <c r="L90" i="1"/>
  <c r="M89" i="1"/>
  <c r="L89" i="1"/>
  <c r="M88" i="1"/>
  <c r="L88" i="1"/>
  <c r="M87" i="1"/>
  <c r="L87" i="1"/>
  <c r="M86" i="1"/>
  <c r="L86" i="1"/>
  <c r="M85" i="1"/>
  <c r="L85" i="1"/>
  <c r="M84" i="1"/>
  <c r="L84" i="1"/>
  <c r="M83" i="1"/>
  <c r="L83" i="1"/>
  <c r="M82" i="1"/>
  <c r="L82" i="1"/>
  <c r="M81" i="1"/>
  <c r="L81" i="1"/>
  <c r="M80" i="1"/>
  <c r="L80" i="1"/>
  <c r="M79" i="1"/>
  <c r="L79" i="1"/>
  <c r="M78" i="1"/>
  <c r="L78" i="1"/>
  <c r="M77" i="1"/>
  <c r="L77" i="1"/>
  <c r="M76" i="1"/>
  <c r="L76" i="1"/>
  <c r="M75" i="1"/>
  <c r="L75" i="1"/>
  <c r="M74" i="1"/>
  <c r="L74" i="1"/>
  <c r="M73" i="1"/>
  <c r="L73" i="1"/>
  <c r="M72" i="1"/>
  <c r="L72" i="1"/>
  <c r="M71" i="1"/>
  <c r="L71" i="1"/>
  <c r="M70" i="1"/>
  <c r="L70" i="1"/>
  <c r="M69" i="1"/>
  <c r="L69" i="1"/>
  <c r="M68" i="1"/>
  <c r="L68" i="1"/>
  <c r="M67" i="1"/>
  <c r="L67" i="1"/>
  <c r="M66" i="1"/>
  <c r="L66" i="1"/>
  <c r="M65" i="1"/>
  <c r="L65" i="1"/>
  <c r="M64" i="1"/>
  <c r="L64" i="1"/>
  <c r="M63" i="1"/>
  <c r="L63" i="1"/>
  <c r="M62" i="1"/>
  <c r="L62" i="1"/>
  <c r="M61" i="1"/>
  <c r="L61" i="1"/>
  <c r="M60" i="1"/>
  <c r="L60" i="1"/>
  <c r="M59" i="1"/>
  <c r="L59" i="1"/>
  <c r="M58" i="1"/>
  <c r="L58" i="1"/>
  <c r="M57" i="1"/>
  <c r="L57" i="1"/>
  <c r="M56" i="1"/>
  <c r="L56" i="1"/>
  <c r="M55" i="1"/>
  <c r="L55" i="1"/>
  <c r="M54" i="1"/>
  <c r="L54" i="1"/>
  <c r="M53" i="1"/>
  <c r="L53" i="1"/>
  <c r="M52" i="1"/>
  <c r="L52" i="1"/>
  <c r="M51" i="1"/>
  <c r="L51" i="1"/>
  <c r="M50" i="1"/>
  <c r="L50" i="1"/>
  <c r="M49" i="1"/>
  <c r="L49" i="1"/>
  <c r="M48" i="1"/>
  <c r="L48" i="1"/>
  <c r="M47" i="1"/>
  <c r="L47" i="1"/>
  <c r="M46" i="1"/>
  <c r="L46" i="1"/>
  <c r="M45" i="1"/>
  <c r="L45" i="1"/>
  <c r="M44" i="1"/>
  <c r="L44" i="1"/>
  <c r="M43" i="1"/>
  <c r="L43" i="1"/>
  <c r="M42" i="1"/>
  <c r="L42" i="1"/>
  <c r="M41" i="1"/>
  <c r="L41" i="1"/>
  <c r="M40" i="1"/>
  <c r="L40" i="1"/>
  <c r="M39" i="1"/>
  <c r="L39" i="1"/>
  <c r="M38" i="1"/>
  <c r="L38" i="1"/>
  <c r="M37" i="1"/>
  <c r="L37" i="1"/>
  <c r="M36" i="1"/>
  <c r="L36" i="1"/>
  <c r="M35" i="1"/>
  <c r="L35" i="1"/>
  <c r="M34" i="1"/>
  <c r="L34" i="1"/>
  <c r="M33" i="1"/>
  <c r="L33" i="1"/>
  <c r="M32" i="1"/>
  <c r="L32" i="1"/>
  <c r="M31" i="1"/>
  <c r="L31" i="1"/>
  <c r="M30" i="1"/>
  <c r="L30" i="1"/>
  <c r="M29" i="1"/>
  <c r="L29" i="1"/>
  <c r="M28" i="1"/>
  <c r="L28" i="1"/>
  <c r="M27" i="1"/>
  <c r="L27" i="1"/>
  <c r="M26" i="1"/>
  <c r="L26" i="1"/>
  <c r="M25" i="1"/>
  <c r="L25" i="1"/>
  <c r="M24" i="1"/>
  <c r="L24" i="1"/>
  <c r="M23" i="1"/>
  <c r="L23" i="1"/>
  <c r="M22" i="1"/>
  <c r="L22" i="1"/>
  <c r="M21" i="1"/>
  <c r="L21" i="1"/>
  <c r="M20" i="1"/>
  <c r="L20" i="1"/>
  <c r="M19" i="1"/>
  <c r="L19" i="1"/>
  <c r="M18" i="1"/>
  <c r="L18" i="1"/>
  <c r="M17" i="1"/>
  <c r="L17" i="1"/>
  <c r="M16" i="1"/>
  <c r="L16" i="1"/>
  <c r="M15" i="1"/>
  <c r="L15" i="1"/>
  <c r="M14" i="1"/>
  <c r="L14" i="1"/>
  <c r="M13" i="1"/>
  <c r="L13" i="1"/>
  <c r="M12" i="1"/>
  <c r="L12" i="1"/>
  <c r="M11" i="1"/>
  <c r="L11" i="1"/>
  <c r="M10" i="1"/>
  <c r="L10" i="1"/>
  <c r="M9" i="1"/>
  <c r="L9" i="1"/>
  <c r="M8" i="1"/>
  <c r="L8" i="1"/>
  <c r="M7" i="1"/>
  <c r="L7" i="1"/>
  <c r="M6" i="1"/>
  <c r="L6" i="1"/>
  <c r="M5" i="1"/>
  <c r="L5" i="1"/>
  <c r="M4" i="1"/>
  <c r="L4" i="1"/>
  <c r="M3" i="1"/>
  <c r="L3" i="1"/>
  <c r="M2" i="1"/>
  <c r="L2" i="1"/>
</calcChain>
</file>

<file path=xl/sharedStrings.xml><?xml version="1.0" encoding="utf-8"?>
<sst xmlns="http://schemas.openxmlformats.org/spreadsheetml/2006/main" count="4872" uniqueCount="853">
  <si>
    <t>Order ID</t>
  </si>
  <si>
    <t>Date</t>
  </si>
  <si>
    <t>Zone</t>
  </si>
  <si>
    <t>Customer ID</t>
  </si>
  <si>
    <t>Product Name</t>
  </si>
  <si>
    <t>Category</t>
  </si>
  <si>
    <t>Qty</t>
  </si>
  <si>
    <t>Price</t>
  </si>
  <si>
    <t>Payment Method</t>
  </si>
  <si>
    <t>Order Status</t>
  </si>
  <si>
    <t>Total Amount</t>
  </si>
  <si>
    <t>FLP501</t>
  </si>
  <si>
    <t>North</t>
  </si>
  <si>
    <t>CUST-901</t>
  </si>
  <si>
    <t>Apple iPhone 15</t>
  </si>
  <si>
    <t>Electronics</t>
  </si>
  <si>
    <t>Credit Card</t>
  </si>
  <si>
    <t>Delivered</t>
  </si>
  <si>
    <t>FLP502</t>
  </si>
  <si>
    <t>West</t>
  </si>
  <si>
    <t>CUST-902</t>
  </si>
  <si>
    <t>Samsung Galaxy S24</t>
  </si>
  <si>
    <t>UPI</t>
  </si>
  <si>
    <t>FLP503</t>
  </si>
  <si>
    <t>East</t>
  </si>
  <si>
    <t>CUST-903</t>
  </si>
  <si>
    <t>Mi Smart TV 43</t>
  </si>
  <si>
    <t>Net Banking</t>
  </si>
  <si>
    <t>Shipped</t>
  </si>
  <si>
    <t>FLP504</t>
  </si>
  <si>
    <t>South</t>
  </si>
  <si>
    <t>CUST-904</t>
  </si>
  <si>
    <t>HP Pavilion Laptop</t>
  </si>
  <si>
    <t>FLP505</t>
  </si>
  <si>
    <t>CUST-905</t>
  </si>
  <si>
    <t>Ergonomic Office Chair</t>
  </si>
  <si>
    <t>Furniture</t>
  </si>
  <si>
    <t>COD</t>
  </si>
  <si>
    <t>FLP506</t>
  </si>
  <si>
    <t>CUST-906</t>
  </si>
  <si>
    <t>King Size Bed Sheet</t>
  </si>
  <si>
    <t>Home Decor</t>
  </si>
  <si>
    <t>Cancelled</t>
  </si>
  <si>
    <t>FLP507</t>
  </si>
  <si>
    <t>CUST-907</t>
  </si>
  <si>
    <t>Puma Running Shoes</t>
  </si>
  <si>
    <t>Fashion</t>
  </si>
  <si>
    <t>FLP508</t>
  </si>
  <si>
    <t>CUST-908</t>
  </si>
  <si>
    <t>Adidas Sports Jacket</t>
  </si>
  <si>
    <t>FLP509</t>
  </si>
  <si>
    <t>CUST-909</t>
  </si>
  <si>
    <t>Philips Air Fryer</t>
  </si>
  <si>
    <t>Appliances</t>
  </si>
  <si>
    <t>FLP510</t>
  </si>
  <si>
    <t>CUST-1100</t>
  </si>
  <si>
    <t>Fossil Watch</t>
  </si>
  <si>
    <t>FLP511</t>
  </si>
  <si>
    <t>CUST-1043</t>
  </si>
  <si>
    <t>Prestige Mixer Grinder</t>
  </si>
  <si>
    <t>FLP512</t>
  </si>
  <si>
    <t>CUST-1071</t>
  </si>
  <si>
    <t>Curtain Set</t>
  </si>
  <si>
    <t>FLP513</t>
  </si>
  <si>
    <t>CUST-1057</t>
  </si>
  <si>
    <t>3-Seater Sofa</t>
  </si>
  <si>
    <t>FLP514</t>
  </si>
  <si>
    <t>CUST-941</t>
  </si>
  <si>
    <t>Wall Clock</t>
  </si>
  <si>
    <t>FLP515</t>
  </si>
  <si>
    <t>CUST-1097</t>
  </si>
  <si>
    <t>FLP516</t>
  </si>
  <si>
    <t>CUST-1083</t>
  </si>
  <si>
    <t>Lenovo Tablet</t>
  </si>
  <si>
    <t>FLP517</t>
  </si>
  <si>
    <t>CUST-936</t>
  </si>
  <si>
    <t>FLP518</t>
  </si>
  <si>
    <t>CUST-1007</t>
  </si>
  <si>
    <t>FLP519</t>
  </si>
  <si>
    <t>CUST-1000</t>
  </si>
  <si>
    <t>FLP520</t>
  </si>
  <si>
    <t>CUST-1023</t>
  </si>
  <si>
    <t>FLP521</t>
  </si>
  <si>
    <t>CUST-1038</t>
  </si>
  <si>
    <t>Dyson Vacuum Cleaner</t>
  </si>
  <si>
    <t>FLP522</t>
  </si>
  <si>
    <t>CUST-957</t>
  </si>
  <si>
    <t>Nike T-Shirt</t>
  </si>
  <si>
    <t>FLP523</t>
  </si>
  <si>
    <t>CUST-1086</t>
  </si>
  <si>
    <t>FLP524</t>
  </si>
  <si>
    <t>CUST-1001</t>
  </si>
  <si>
    <t>Debit Card</t>
  </si>
  <si>
    <t>FLP525</t>
  </si>
  <si>
    <t>CUST-1019</t>
  </si>
  <si>
    <t>OnePlus 12</t>
  </si>
  <si>
    <t>FLP526</t>
  </si>
  <si>
    <t>CUST-987</t>
  </si>
  <si>
    <t>FLP527</t>
  </si>
  <si>
    <t>CUST-965</t>
  </si>
  <si>
    <t>FLP528</t>
  </si>
  <si>
    <t>CUST-958</t>
  </si>
  <si>
    <t>LG Microwave Oven</t>
  </si>
  <si>
    <t>FLP529</t>
  </si>
  <si>
    <t>CUST-964</t>
  </si>
  <si>
    <t>FLP530</t>
  </si>
  <si>
    <t>CUST-1072</t>
  </si>
  <si>
    <t>Returned</t>
  </si>
  <si>
    <t>FLP531</t>
  </si>
  <si>
    <t>CUST-943</t>
  </si>
  <si>
    <t>FLP532</t>
  </si>
  <si>
    <t>CUST-980</t>
  </si>
  <si>
    <t>FLP533</t>
  </si>
  <si>
    <t>CUST-1002</t>
  </si>
  <si>
    <t>Wooden Study Table</t>
  </si>
  <si>
    <t>FLP534</t>
  </si>
  <si>
    <t>CUST-927</t>
  </si>
  <si>
    <t>Levis Jeans</t>
  </si>
  <si>
    <t>FLP535</t>
  </si>
  <si>
    <t>CUST-1045</t>
  </si>
  <si>
    <t>FLP536</t>
  </si>
  <si>
    <t>CUST-1030</t>
  </si>
  <si>
    <t>FLP537</t>
  </si>
  <si>
    <t>CUST-1011</t>
  </si>
  <si>
    <t>FLP538</t>
  </si>
  <si>
    <t>CUST-946</t>
  </si>
  <si>
    <t>FLP539</t>
  </si>
  <si>
    <t>CUST-1020</t>
  </si>
  <si>
    <t>FLP540</t>
  </si>
  <si>
    <t>CUST-923</t>
  </si>
  <si>
    <t>FLP541</t>
  </si>
  <si>
    <t>FLP542</t>
  </si>
  <si>
    <t>CUST-967</t>
  </si>
  <si>
    <t>Boat Airdopes</t>
  </si>
  <si>
    <t>FLP543</t>
  </si>
  <si>
    <t>CUST-1033</t>
  </si>
  <si>
    <t>FLP544</t>
  </si>
  <si>
    <t>CUST-1077</t>
  </si>
  <si>
    <t>FLP545</t>
  </si>
  <si>
    <t>CUST-976</t>
  </si>
  <si>
    <t>FLP546</t>
  </si>
  <si>
    <t>CUST-1022</t>
  </si>
  <si>
    <t>FLP547</t>
  </si>
  <si>
    <t>CUST-1080</t>
  </si>
  <si>
    <t>FLP548</t>
  </si>
  <si>
    <t>CUST-981</t>
  </si>
  <si>
    <t>FLP549</t>
  </si>
  <si>
    <t>CUST-956</t>
  </si>
  <si>
    <t>FLP550</t>
  </si>
  <si>
    <t>CUST-926</t>
  </si>
  <si>
    <t>FLP551</t>
  </si>
  <si>
    <t>CUST-1082</t>
  </si>
  <si>
    <t>Bookshelf Rack</t>
  </si>
  <si>
    <t>FLP552</t>
  </si>
  <si>
    <t>CUST-1064</t>
  </si>
  <si>
    <t>FLP553</t>
  </si>
  <si>
    <t>FLP554</t>
  </si>
  <si>
    <t>CUST-930</t>
  </si>
  <si>
    <t>FLP555</t>
  </si>
  <si>
    <t>CUST-939</t>
  </si>
  <si>
    <t>FLP556</t>
  </si>
  <si>
    <t>CUST-931</t>
  </si>
  <si>
    <t>FLP557</t>
  </si>
  <si>
    <t>CUST-1099</t>
  </si>
  <si>
    <t>FLP558</t>
  </si>
  <si>
    <t>CUST-979</t>
  </si>
  <si>
    <t>FLP559</t>
  </si>
  <si>
    <t>CUST-1061</t>
  </si>
  <si>
    <t>FLP560</t>
  </si>
  <si>
    <t>FLP561</t>
  </si>
  <si>
    <t>CUST-960</t>
  </si>
  <si>
    <t>FLP562</t>
  </si>
  <si>
    <t>CUST-968</t>
  </si>
  <si>
    <t>FLP563</t>
  </si>
  <si>
    <t>CUST-1009</t>
  </si>
  <si>
    <t>FLP564</t>
  </si>
  <si>
    <t>CUST-919</t>
  </si>
  <si>
    <t>FLP565</t>
  </si>
  <si>
    <t>CUST-1013</t>
  </si>
  <si>
    <t>FLP566</t>
  </si>
  <si>
    <t>CUST-1029</t>
  </si>
  <si>
    <t>FLP567</t>
  </si>
  <si>
    <t>CUST-1089</t>
  </si>
  <si>
    <t>FLP568</t>
  </si>
  <si>
    <t>CUST-1096</t>
  </si>
  <si>
    <t>FLP569</t>
  </si>
  <si>
    <t>CUST-1021</t>
  </si>
  <si>
    <t>FLP570</t>
  </si>
  <si>
    <t>CUST-1063</t>
  </si>
  <si>
    <t>FLP571</t>
  </si>
  <si>
    <t>CUST-983</t>
  </si>
  <si>
    <t>Table Lamp</t>
  </si>
  <si>
    <t>FLP572</t>
  </si>
  <si>
    <t>CUST-974</t>
  </si>
  <si>
    <t>FLP573</t>
  </si>
  <si>
    <t>FLP574</t>
  </si>
  <si>
    <t>CUST-1069</t>
  </si>
  <si>
    <t>FLP575</t>
  </si>
  <si>
    <t>CUST-1060</t>
  </si>
  <si>
    <t>FLP576</t>
  </si>
  <si>
    <t>CUST-1041</t>
  </si>
  <si>
    <t>FLP577</t>
  </si>
  <si>
    <t>CUST-1062</t>
  </si>
  <si>
    <t>FLP578</t>
  </si>
  <si>
    <t>CUST-1042</t>
  </si>
  <si>
    <t>FLP579</t>
  </si>
  <si>
    <t>CUST-1066</t>
  </si>
  <si>
    <t>FLP580</t>
  </si>
  <si>
    <t>FLP581</t>
  </si>
  <si>
    <t>CUST-999</t>
  </si>
  <si>
    <t>FLP582</t>
  </si>
  <si>
    <t>CUST-971</t>
  </si>
  <si>
    <t>FLP583</t>
  </si>
  <si>
    <t>FLP584</t>
  </si>
  <si>
    <t>FLP585</t>
  </si>
  <si>
    <t>CUST-1017</t>
  </si>
  <si>
    <t>FLP586</t>
  </si>
  <si>
    <t>FLP587</t>
  </si>
  <si>
    <t>FLP588</t>
  </si>
  <si>
    <t>CUST-910</t>
  </si>
  <si>
    <t>FLP589</t>
  </si>
  <si>
    <t>FLP590</t>
  </si>
  <si>
    <t>CUST-920</t>
  </si>
  <si>
    <t>FLP591</t>
  </si>
  <si>
    <t>CUST-1067</t>
  </si>
  <si>
    <t>FLP592</t>
  </si>
  <si>
    <t>CUST-982</t>
  </si>
  <si>
    <t>FLP593</t>
  </si>
  <si>
    <t>CUST-1059</t>
  </si>
  <si>
    <t>FLP594</t>
  </si>
  <si>
    <t>CUST-1012</t>
  </si>
  <si>
    <t>FLP595</t>
  </si>
  <si>
    <t>FLP596</t>
  </si>
  <si>
    <t>FLP597</t>
  </si>
  <si>
    <t>CUST-944</t>
  </si>
  <si>
    <t>FLP598</t>
  </si>
  <si>
    <t>CUST-1028</t>
  </si>
  <si>
    <t>FLP599</t>
  </si>
  <si>
    <t>CUST-966</t>
  </si>
  <si>
    <t>FLP600</t>
  </si>
  <si>
    <t>FLP601</t>
  </si>
  <si>
    <t>FLP602</t>
  </si>
  <si>
    <t>CUST-928</t>
  </si>
  <si>
    <t>Sony Headphones</t>
  </si>
  <si>
    <t>FLP603</t>
  </si>
  <si>
    <t>FLP604</t>
  </si>
  <si>
    <t>CUST-1056</t>
  </si>
  <si>
    <t>FLP605</t>
  </si>
  <si>
    <t>FLP606</t>
  </si>
  <si>
    <t>FLP607</t>
  </si>
  <si>
    <t>FLP608</t>
  </si>
  <si>
    <t>CUST-1092</t>
  </si>
  <si>
    <t>FLP609</t>
  </si>
  <si>
    <t>CUST-1036</t>
  </si>
  <si>
    <t>FLP610</t>
  </si>
  <si>
    <t>FLP611</t>
  </si>
  <si>
    <t>CUST-937</t>
  </si>
  <si>
    <t>FLP612</t>
  </si>
  <si>
    <t>FLP613</t>
  </si>
  <si>
    <t>FLP614</t>
  </si>
  <si>
    <t>FLP615</t>
  </si>
  <si>
    <t>FLP616</t>
  </si>
  <si>
    <t>FLP617</t>
  </si>
  <si>
    <t>FLP618</t>
  </si>
  <si>
    <t>FLP619</t>
  </si>
  <si>
    <t>FLP620</t>
  </si>
  <si>
    <t>FLP621</t>
  </si>
  <si>
    <t>FLP622</t>
  </si>
  <si>
    <t>FLP623</t>
  </si>
  <si>
    <t>CUST-1065</t>
  </si>
  <si>
    <t>FLP624</t>
  </si>
  <si>
    <t>CUST-933</t>
  </si>
  <si>
    <t>FLP625</t>
  </si>
  <si>
    <t>FLP626</t>
  </si>
  <si>
    <t>CUST-934</t>
  </si>
  <si>
    <t>FLP627</t>
  </si>
  <si>
    <t>FLP628</t>
  </si>
  <si>
    <t>CUST-945</t>
  </si>
  <si>
    <t>FLP629</t>
  </si>
  <si>
    <t>FLP630</t>
  </si>
  <si>
    <t>CUST-1058</t>
  </si>
  <si>
    <t>FLP631</t>
  </si>
  <si>
    <t>FLP632</t>
  </si>
  <si>
    <t>CUST-1076</t>
  </si>
  <si>
    <t>FLP633</t>
  </si>
  <si>
    <t>FLP634</t>
  </si>
  <si>
    <t>CUST-998</t>
  </si>
  <si>
    <t>FLP635</t>
  </si>
  <si>
    <t>FLP636</t>
  </si>
  <si>
    <t>FLP637</t>
  </si>
  <si>
    <t>FLP638</t>
  </si>
  <si>
    <t>CUST-940</t>
  </si>
  <si>
    <t>FLP639</t>
  </si>
  <si>
    <t>FLP640</t>
  </si>
  <si>
    <t>FLP641</t>
  </si>
  <si>
    <t>CUST-1085</t>
  </si>
  <si>
    <t>FLP642</t>
  </si>
  <si>
    <t>FLP643</t>
  </si>
  <si>
    <t>FLP644</t>
  </si>
  <si>
    <t>FLP645</t>
  </si>
  <si>
    <t>FLP646</t>
  </si>
  <si>
    <t>FLP647</t>
  </si>
  <si>
    <t>CUST-924</t>
  </si>
  <si>
    <t>FLP648</t>
  </si>
  <si>
    <t>CUST-995</t>
  </si>
  <si>
    <t>FLP649</t>
  </si>
  <si>
    <t>FLP650</t>
  </si>
  <si>
    <t>CUST-1070</t>
  </si>
  <si>
    <t>FLP651</t>
  </si>
  <si>
    <t>CUST-989</t>
  </si>
  <si>
    <t>FLP652</t>
  </si>
  <si>
    <t>CUST-912</t>
  </si>
  <si>
    <t>FLP653</t>
  </si>
  <si>
    <t>CUST-955</t>
  </si>
  <si>
    <t>FLP654</t>
  </si>
  <si>
    <t>FLP655</t>
  </si>
  <si>
    <t>FLP656</t>
  </si>
  <si>
    <t>FLP657</t>
  </si>
  <si>
    <t>FLP658</t>
  </si>
  <si>
    <t>FLP659</t>
  </si>
  <si>
    <t>FLP660</t>
  </si>
  <si>
    <t>FLP661</t>
  </si>
  <si>
    <t>FLP662</t>
  </si>
  <si>
    <t>CUST-990</t>
  </si>
  <si>
    <t>FLP663</t>
  </si>
  <si>
    <t>FLP664</t>
  </si>
  <si>
    <t>FLP665</t>
  </si>
  <si>
    <t>CUST-1075</t>
  </si>
  <si>
    <t>FLP666</t>
  </si>
  <si>
    <t>FLP667</t>
  </si>
  <si>
    <t>FLP668</t>
  </si>
  <si>
    <t>FLP669</t>
  </si>
  <si>
    <t>FLP670</t>
  </si>
  <si>
    <t>CUST-1016</t>
  </si>
  <si>
    <t>FLP671</t>
  </si>
  <si>
    <t>FLP672</t>
  </si>
  <si>
    <t>FLP673</t>
  </si>
  <si>
    <t>FLP674</t>
  </si>
  <si>
    <t>FLP675</t>
  </si>
  <si>
    <t>CUST-917</t>
  </si>
  <si>
    <t>FLP676</t>
  </si>
  <si>
    <t>CUST-986</t>
  </si>
  <si>
    <t>FLP677</t>
  </si>
  <si>
    <t>FLP678</t>
  </si>
  <si>
    <t>FLP679</t>
  </si>
  <si>
    <t>FLP680</t>
  </si>
  <si>
    <t>FLP681</t>
  </si>
  <si>
    <t>FLP682</t>
  </si>
  <si>
    <t>FLP683</t>
  </si>
  <si>
    <t>CUST-942</t>
  </si>
  <si>
    <t>FLP684</t>
  </si>
  <si>
    <t>FLP685</t>
  </si>
  <si>
    <t>FLP686</t>
  </si>
  <si>
    <t>FLP687</t>
  </si>
  <si>
    <t>FLP688</t>
  </si>
  <si>
    <t>CUST-952</t>
  </si>
  <si>
    <t>FLP689</t>
  </si>
  <si>
    <t>CUST-996</t>
  </si>
  <si>
    <t>FLP690</t>
  </si>
  <si>
    <t>CUST-922</t>
  </si>
  <si>
    <t>FLP691</t>
  </si>
  <si>
    <t>FLP692</t>
  </si>
  <si>
    <t>FLP693</t>
  </si>
  <si>
    <t>FLP694</t>
  </si>
  <si>
    <t>CUST-938</t>
  </si>
  <si>
    <t>FLP695</t>
  </si>
  <si>
    <t>CUST-1095</t>
  </si>
  <si>
    <t>FLP696</t>
  </si>
  <si>
    <t>FLP697</t>
  </si>
  <si>
    <t>CUST-929</t>
  </si>
  <si>
    <t>FLP698</t>
  </si>
  <si>
    <t>FLP699</t>
  </si>
  <si>
    <t>CUST-1053</t>
  </si>
  <si>
    <t>FLP700</t>
  </si>
  <si>
    <t>CUST-975</t>
  </si>
  <si>
    <t>FLP701</t>
  </si>
  <si>
    <t>FLP702</t>
  </si>
  <si>
    <t>FLP703</t>
  </si>
  <si>
    <t>FLP704</t>
  </si>
  <si>
    <t>CUST-1098</t>
  </si>
  <si>
    <t>FLP705</t>
  </si>
  <si>
    <t>FLP706</t>
  </si>
  <si>
    <t>FLP707</t>
  </si>
  <si>
    <t>FLP708</t>
  </si>
  <si>
    <t>FLP709</t>
  </si>
  <si>
    <t>CUST-1093</t>
  </si>
  <si>
    <t>FLP710</t>
  </si>
  <si>
    <t>CUST-970</t>
  </si>
  <si>
    <t>FLP711</t>
  </si>
  <si>
    <t>FLP712</t>
  </si>
  <si>
    <t>FLP713</t>
  </si>
  <si>
    <t>CUST-1040</t>
  </si>
  <si>
    <t>FLP714</t>
  </si>
  <si>
    <t>CUST-1015</t>
  </si>
  <si>
    <t>FLP715</t>
  </si>
  <si>
    <t>CUST-911</t>
  </si>
  <si>
    <t>FLP716</t>
  </si>
  <si>
    <t>FLP717</t>
  </si>
  <si>
    <t>CUST-994</t>
  </si>
  <si>
    <t>FLP718</t>
  </si>
  <si>
    <t>FLP719</t>
  </si>
  <si>
    <t>CUST-993</t>
  </si>
  <si>
    <t>FLP720</t>
  </si>
  <si>
    <t>FLP721</t>
  </si>
  <si>
    <t>FLP722</t>
  </si>
  <si>
    <t>FLP723</t>
  </si>
  <si>
    <t>CUST-1081</t>
  </si>
  <si>
    <t>FLP724</t>
  </si>
  <si>
    <t>FLP725</t>
  </si>
  <si>
    <t>FLP726</t>
  </si>
  <si>
    <t>FLP727</t>
  </si>
  <si>
    <t>FLP728</t>
  </si>
  <si>
    <t>CUST-1027</t>
  </si>
  <si>
    <t>FLP729</t>
  </si>
  <si>
    <t>FLP730</t>
  </si>
  <si>
    <t>CUST-1035</t>
  </si>
  <si>
    <t>FLP731</t>
  </si>
  <si>
    <t>FLP732</t>
  </si>
  <si>
    <t>FLP733</t>
  </si>
  <si>
    <t>CUST-978</t>
  </si>
  <si>
    <t>FLP734</t>
  </si>
  <si>
    <t>CUST-921</t>
  </si>
  <si>
    <t>FLP735</t>
  </si>
  <si>
    <t>FLP736</t>
  </si>
  <si>
    <t>FLP737</t>
  </si>
  <si>
    <t>FLP738</t>
  </si>
  <si>
    <t>FLP739</t>
  </si>
  <si>
    <t>FLP740</t>
  </si>
  <si>
    <t>FLP741</t>
  </si>
  <si>
    <t>CUST-988</t>
  </si>
  <si>
    <t>FLP742</t>
  </si>
  <si>
    <t>CUST-1003</t>
  </si>
  <si>
    <t>FLP743</t>
  </si>
  <si>
    <t>FLP744</t>
  </si>
  <si>
    <t>FLP745</t>
  </si>
  <si>
    <t>CUST-949</t>
  </si>
  <si>
    <t>FLP746</t>
  </si>
  <si>
    <t>FLP747</t>
  </si>
  <si>
    <t>FLP748</t>
  </si>
  <si>
    <t>FLP749</t>
  </si>
  <si>
    <t>CUST-1087</t>
  </si>
  <si>
    <t>FLP750</t>
  </si>
  <si>
    <t>FLP751</t>
  </si>
  <si>
    <t>FLP752</t>
  </si>
  <si>
    <t>FLP753</t>
  </si>
  <si>
    <t>FLP754</t>
  </si>
  <si>
    <t>FLP755</t>
  </si>
  <si>
    <t>FLP756</t>
  </si>
  <si>
    <t>FLP757</t>
  </si>
  <si>
    <t>FLP758</t>
  </si>
  <si>
    <t>FLP759</t>
  </si>
  <si>
    <t>FLP760</t>
  </si>
  <si>
    <t>FLP761</t>
  </si>
  <si>
    <t>FLP762</t>
  </si>
  <si>
    <t>CUST-1006</t>
  </si>
  <si>
    <t>FLP763</t>
  </si>
  <si>
    <t>FLP764</t>
  </si>
  <si>
    <t>FLP765</t>
  </si>
  <si>
    <t>FLP766</t>
  </si>
  <si>
    <t>FLP767</t>
  </si>
  <si>
    <t>CUST-977</t>
  </si>
  <si>
    <t>FLP768</t>
  </si>
  <si>
    <t>FLP769</t>
  </si>
  <si>
    <t>CUST-1047</t>
  </si>
  <si>
    <t>FLP770</t>
  </si>
  <si>
    <t>FLP771</t>
  </si>
  <si>
    <t>CUST-1068</t>
  </si>
  <si>
    <t>FLP772</t>
  </si>
  <si>
    <t>CUST-1044</t>
  </si>
  <si>
    <t>FLP773</t>
  </si>
  <si>
    <t>CUST-963</t>
  </si>
  <si>
    <t>FLP774</t>
  </si>
  <si>
    <t>FLP775</t>
  </si>
  <si>
    <t>FLP776</t>
  </si>
  <si>
    <t>FLP777</t>
  </si>
  <si>
    <t>FLP778</t>
  </si>
  <si>
    <t>FLP779</t>
  </si>
  <si>
    <t>FLP780</t>
  </si>
  <si>
    <t>FLP781</t>
  </si>
  <si>
    <t>CUST-935</t>
  </si>
  <si>
    <t>FLP782</t>
  </si>
  <si>
    <t>FLP783</t>
  </si>
  <si>
    <t>FLP784</t>
  </si>
  <si>
    <t>CUST-1010</t>
  </si>
  <si>
    <t>FLP785</t>
  </si>
  <si>
    <t>FLP786</t>
  </si>
  <si>
    <t>FLP787</t>
  </si>
  <si>
    <t>FLP788</t>
  </si>
  <si>
    <t>FLP789</t>
  </si>
  <si>
    <t>FLP790</t>
  </si>
  <si>
    <t>FLP791</t>
  </si>
  <si>
    <t>CUST-1094</t>
  </si>
  <si>
    <t>FLP792</t>
  </si>
  <si>
    <t>FLP793</t>
  </si>
  <si>
    <t>CUST-916</t>
  </si>
  <si>
    <t>FLP794</t>
  </si>
  <si>
    <t>FLP795</t>
  </si>
  <si>
    <t>FLP796</t>
  </si>
  <si>
    <t>FLP797</t>
  </si>
  <si>
    <t>FLP798</t>
  </si>
  <si>
    <t>FLP799</t>
  </si>
  <si>
    <t>FLP800</t>
  </si>
  <si>
    <t>FLP801</t>
  </si>
  <si>
    <t>FLP802</t>
  </si>
  <si>
    <t>FLP803</t>
  </si>
  <si>
    <t>FLP804</t>
  </si>
  <si>
    <t>FLP805</t>
  </si>
  <si>
    <t>FLP806</t>
  </si>
  <si>
    <t>CUST-962</t>
  </si>
  <si>
    <t>FLP807</t>
  </si>
  <si>
    <t>FLP808</t>
  </si>
  <si>
    <t>FLP809</t>
  </si>
  <si>
    <t>CUST-961</t>
  </si>
  <si>
    <t>FLP810</t>
  </si>
  <si>
    <t>FLP811</t>
  </si>
  <si>
    <t>FLP812</t>
  </si>
  <si>
    <t>FLP813</t>
  </si>
  <si>
    <t>FLP814</t>
  </si>
  <si>
    <t>FLP815</t>
  </si>
  <si>
    <t>FLP816</t>
  </si>
  <si>
    <t>FLP817</t>
  </si>
  <si>
    <t>CUST-1073</t>
  </si>
  <si>
    <t>FLP818</t>
  </si>
  <si>
    <t>FLP819</t>
  </si>
  <si>
    <t>FLP820</t>
  </si>
  <si>
    <t>FLP821</t>
  </si>
  <si>
    <t>FLP822</t>
  </si>
  <si>
    <t>FLP823</t>
  </si>
  <si>
    <t>FLP824</t>
  </si>
  <si>
    <t>FLP825</t>
  </si>
  <si>
    <t>FLP826</t>
  </si>
  <si>
    <t>FLP827</t>
  </si>
  <si>
    <t>FLP828</t>
  </si>
  <si>
    <t>FLP829</t>
  </si>
  <si>
    <t>FLP830</t>
  </si>
  <si>
    <t>FLP831</t>
  </si>
  <si>
    <t>FLP832</t>
  </si>
  <si>
    <t>FLP833</t>
  </si>
  <si>
    <t>FLP834</t>
  </si>
  <si>
    <t>FLP835</t>
  </si>
  <si>
    <t>CUST-991</t>
  </si>
  <si>
    <t>FLP836</t>
  </si>
  <si>
    <t>FLP837</t>
  </si>
  <si>
    <t>FLP838</t>
  </si>
  <si>
    <t>CUST-997</t>
  </si>
  <si>
    <t>FLP839</t>
  </si>
  <si>
    <t>FLP840</t>
  </si>
  <si>
    <t>FLP841</t>
  </si>
  <si>
    <t>FLP842</t>
  </si>
  <si>
    <t>FLP843</t>
  </si>
  <si>
    <t>FLP844</t>
  </si>
  <si>
    <t>CUST-1074</t>
  </si>
  <si>
    <t>FLP845</t>
  </si>
  <si>
    <t>FLP846</t>
  </si>
  <si>
    <t>FLP847</t>
  </si>
  <si>
    <t>FLP848</t>
  </si>
  <si>
    <t>FLP849</t>
  </si>
  <si>
    <t>FLP850</t>
  </si>
  <si>
    <t>CUST-969</t>
  </si>
  <si>
    <t>FLP851</t>
  </si>
  <si>
    <t>FLP852</t>
  </si>
  <si>
    <t>FLP853</t>
  </si>
  <si>
    <t>FLP854</t>
  </si>
  <si>
    <t>FLP855</t>
  </si>
  <si>
    <t>FLP856</t>
  </si>
  <si>
    <t>FLP857</t>
  </si>
  <si>
    <t>CUST-1024</t>
  </si>
  <si>
    <t>FLP858</t>
  </si>
  <si>
    <t>FLP859</t>
  </si>
  <si>
    <t>FLP860</t>
  </si>
  <si>
    <t>FLP861</t>
  </si>
  <si>
    <t>FLP862</t>
  </si>
  <si>
    <t>CUST-1048</t>
  </si>
  <si>
    <t>FLP863</t>
  </si>
  <si>
    <t>FLP864</t>
  </si>
  <si>
    <t>FLP865</t>
  </si>
  <si>
    <t>FLP866</t>
  </si>
  <si>
    <t>FLP867</t>
  </si>
  <si>
    <t>CUST-1084</t>
  </si>
  <si>
    <t>FLP868</t>
  </si>
  <si>
    <t>CUST-1050</t>
  </si>
  <si>
    <t>FLP869</t>
  </si>
  <si>
    <t>FLP870</t>
  </si>
  <si>
    <t>FLP871</t>
  </si>
  <si>
    <t>FLP872</t>
  </si>
  <si>
    <t>FLP873</t>
  </si>
  <si>
    <t>FLP874</t>
  </si>
  <si>
    <t>FLP875</t>
  </si>
  <si>
    <t>FLP876</t>
  </si>
  <si>
    <t>CUST-953</t>
  </si>
  <si>
    <t>FLP877</t>
  </si>
  <si>
    <t>FLP878</t>
  </si>
  <si>
    <t>FLP879</t>
  </si>
  <si>
    <t>FLP880</t>
  </si>
  <si>
    <t>FLP881</t>
  </si>
  <si>
    <t>FLP882</t>
  </si>
  <si>
    <t>FLP883</t>
  </si>
  <si>
    <t>FLP884</t>
  </si>
  <si>
    <t>FLP885</t>
  </si>
  <si>
    <t>FLP886</t>
  </si>
  <si>
    <t>FLP887</t>
  </si>
  <si>
    <t>FLP888</t>
  </si>
  <si>
    <t>FLP889</t>
  </si>
  <si>
    <t>FLP890</t>
  </si>
  <si>
    <t>FLP891</t>
  </si>
  <si>
    <t>FLP892</t>
  </si>
  <si>
    <t>FLP893</t>
  </si>
  <si>
    <t>FLP894</t>
  </si>
  <si>
    <t>FLP895</t>
  </si>
  <si>
    <t>FLP896</t>
  </si>
  <si>
    <t>FLP897</t>
  </si>
  <si>
    <t>FLP898</t>
  </si>
  <si>
    <t>FLP899</t>
  </si>
  <si>
    <t>FLP900</t>
  </si>
  <si>
    <t>FLP901</t>
  </si>
  <si>
    <t>FLP902</t>
  </si>
  <si>
    <t>FLP903</t>
  </si>
  <si>
    <t>FLP904</t>
  </si>
  <si>
    <t>FLP905</t>
  </si>
  <si>
    <t>FLP906</t>
  </si>
  <si>
    <t>CUST-1004</t>
  </si>
  <si>
    <t>FLP907</t>
  </si>
  <si>
    <t>CUST-984</t>
  </si>
  <si>
    <t>FLP908</t>
  </si>
  <si>
    <t>FLP909</t>
  </si>
  <si>
    <t>FLP910</t>
  </si>
  <si>
    <t>FLP911</t>
  </si>
  <si>
    <t>FLP912</t>
  </si>
  <si>
    <t>FLP913</t>
  </si>
  <si>
    <t>FLP914</t>
  </si>
  <si>
    <t>FLP915</t>
  </si>
  <si>
    <t>FLP916</t>
  </si>
  <si>
    <t>FLP917</t>
  </si>
  <si>
    <t>FLP918</t>
  </si>
  <si>
    <t>FLP919</t>
  </si>
  <si>
    <t>FLP920</t>
  </si>
  <si>
    <t>FLP921</t>
  </si>
  <si>
    <t>FLP922</t>
  </si>
  <si>
    <t>FLP923</t>
  </si>
  <si>
    <t>FLP924</t>
  </si>
  <si>
    <t>FLP925</t>
  </si>
  <si>
    <t>FLP926</t>
  </si>
  <si>
    <t>FLP927</t>
  </si>
  <si>
    <t>FLP928</t>
  </si>
  <si>
    <t>FLP929</t>
  </si>
  <si>
    <t>FLP930</t>
  </si>
  <si>
    <t>FLP931</t>
  </si>
  <si>
    <t>FLP932</t>
  </si>
  <si>
    <t>FLP933</t>
  </si>
  <si>
    <t>FLP934</t>
  </si>
  <si>
    <t>FLP935</t>
  </si>
  <si>
    <t>CUST-1051</t>
  </si>
  <si>
    <t>FLP936</t>
  </si>
  <si>
    <t>CUST-1079</t>
  </si>
  <si>
    <t>FLP937</t>
  </si>
  <si>
    <t>FLP938</t>
  </si>
  <si>
    <t>FLP939</t>
  </si>
  <si>
    <t>CUST-1034</t>
  </si>
  <si>
    <t>FLP940</t>
  </si>
  <si>
    <t>FLP941</t>
  </si>
  <si>
    <t>FLP942</t>
  </si>
  <si>
    <t>FLP943</t>
  </si>
  <si>
    <t>FLP944</t>
  </si>
  <si>
    <t>CUST-959</t>
  </si>
  <si>
    <t>FLP945</t>
  </si>
  <si>
    <t>FLP946</t>
  </si>
  <si>
    <t>FLP947</t>
  </si>
  <si>
    <t>FLP948</t>
  </si>
  <si>
    <t>FLP949</t>
  </si>
  <si>
    <t>FLP950</t>
  </si>
  <si>
    <t>CUST-1090</t>
  </si>
  <si>
    <t>FLP951</t>
  </si>
  <si>
    <t>CUST-1088</t>
  </si>
  <si>
    <t>FLP952</t>
  </si>
  <si>
    <t>FLP953</t>
  </si>
  <si>
    <t>FLP954</t>
  </si>
  <si>
    <t>FLP955</t>
  </si>
  <si>
    <t>FLP956</t>
  </si>
  <si>
    <t>FLP957</t>
  </si>
  <si>
    <t>FLP958</t>
  </si>
  <si>
    <t>FLP959</t>
  </si>
  <si>
    <t>FLP960</t>
  </si>
  <si>
    <t>FLP961</t>
  </si>
  <si>
    <t>FLP962</t>
  </si>
  <si>
    <t>FLP963</t>
  </si>
  <si>
    <t>FLP964</t>
  </si>
  <si>
    <t>FLP965</t>
  </si>
  <si>
    <t>FLP966</t>
  </si>
  <si>
    <t>FLP967</t>
  </si>
  <si>
    <t>CUST-925</t>
  </si>
  <si>
    <t>FLP968</t>
  </si>
  <si>
    <t>FLP969</t>
  </si>
  <si>
    <t>FLP970</t>
  </si>
  <si>
    <t>CUST-951</t>
  </si>
  <si>
    <t>FLP971</t>
  </si>
  <si>
    <t>CUST-932</t>
  </si>
  <si>
    <t>FLP972</t>
  </si>
  <si>
    <t>FLP973</t>
  </si>
  <si>
    <t>FLP974</t>
  </si>
  <si>
    <t>FLP975</t>
  </si>
  <si>
    <t>FLP976</t>
  </si>
  <si>
    <t>FLP977</t>
  </si>
  <si>
    <t>FLP978</t>
  </si>
  <si>
    <t>FLP979</t>
  </si>
  <si>
    <t>CUST-915</t>
  </si>
  <si>
    <t>FLP980</t>
  </si>
  <si>
    <t>FLP981</t>
  </si>
  <si>
    <t>FLP982</t>
  </si>
  <si>
    <t>FLP983</t>
  </si>
  <si>
    <t>FLP984</t>
  </si>
  <si>
    <t>FLP985</t>
  </si>
  <si>
    <t>CUST-1055</t>
  </si>
  <si>
    <t>FLP986</t>
  </si>
  <si>
    <t>FLP987</t>
  </si>
  <si>
    <t>FLP988</t>
  </si>
  <si>
    <t>FLP989</t>
  </si>
  <si>
    <t>FLP990</t>
  </si>
  <si>
    <t>FLP991</t>
  </si>
  <si>
    <t>FLP992</t>
  </si>
  <si>
    <t>FLP993</t>
  </si>
  <si>
    <t>FLP994</t>
  </si>
  <si>
    <t>FLP995</t>
  </si>
  <si>
    <t>FLP996</t>
  </si>
  <si>
    <t>FLP997</t>
  </si>
  <si>
    <t>CUST-954</t>
  </si>
  <si>
    <t>FLP998</t>
  </si>
  <si>
    <t>CUST-913</t>
  </si>
  <si>
    <t>FLP999</t>
  </si>
  <si>
    <t>FLP1000</t>
  </si>
  <si>
    <t>FLP1001</t>
  </si>
  <si>
    <t>FLP1002</t>
  </si>
  <si>
    <t>FLP1003</t>
  </si>
  <si>
    <t>FLP1004</t>
  </si>
  <si>
    <t>FLP1005</t>
  </si>
  <si>
    <t>FLP1006</t>
  </si>
  <si>
    <t>FLP1007</t>
  </si>
  <si>
    <t>FLP1008</t>
  </si>
  <si>
    <t>FLP1009</t>
  </si>
  <si>
    <t>FLP1010</t>
  </si>
  <si>
    <t>CUST-948</t>
  </si>
  <si>
    <t>FLP1011</t>
  </si>
  <si>
    <t>FLP1012</t>
  </si>
  <si>
    <t>CUST-1039</t>
  </si>
  <si>
    <t>FLP1013</t>
  </si>
  <si>
    <t>FLP1014</t>
  </si>
  <si>
    <t>FLP1015</t>
  </si>
  <si>
    <t>FLP1016</t>
  </si>
  <si>
    <t>FLP1017</t>
  </si>
  <si>
    <t>FLP1018</t>
  </si>
  <si>
    <t>FLP1019</t>
  </si>
  <si>
    <t>FLP1020</t>
  </si>
  <si>
    <t>FLP1021</t>
  </si>
  <si>
    <t>FLP1022</t>
  </si>
  <si>
    <t>FLP1023</t>
  </si>
  <si>
    <t>FLP1024</t>
  </si>
  <si>
    <t>FLP1025</t>
  </si>
  <si>
    <t>FLP1026</t>
  </si>
  <si>
    <t>FLP1027</t>
  </si>
  <si>
    <t>FLP1028</t>
  </si>
  <si>
    <t>FLP1029</t>
  </si>
  <si>
    <t>FLP1030</t>
  </si>
  <si>
    <t>FLP1031</t>
  </si>
  <si>
    <t>FLP1032</t>
  </si>
  <si>
    <t>FLP1033</t>
  </si>
  <si>
    <t>FLP1034</t>
  </si>
  <si>
    <t>CUST-973</t>
  </si>
  <si>
    <t>FLP1035</t>
  </si>
  <si>
    <t>FLP1036</t>
  </si>
  <si>
    <t>FLP1037</t>
  </si>
  <si>
    <t>CUST-1054</t>
  </si>
  <si>
    <t>FLP1038</t>
  </si>
  <si>
    <t>FLP1039</t>
  </si>
  <si>
    <t>CUST-1018</t>
  </si>
  <si>
    <t>FLP1040</t>
  </si>
  <si>
    <t>FLP1041</t>
  </si>
  <si>
    <t>FLP1042</t>
  </si>
  <si>
    <t>FLP1043</t>
  </si>
  <si>
    <t>FLP1044</t>
  </si>
  <si>
    <t>FLP1045</t>
  </si>
  <si>
    <t>FLP1046</t>
  </si>
  <si>
    <t>CUST-1008</t>
  </si>
  <si>
    <t>FLP1047</t>
  </si>
  <si>
    <t>FLP1048</t>
  </si>
  <si>
    <t>FLP1049</t>
  </si>
  <si>
    <t>FLP1050</t>
  </si>
  <si>
    <t>FLP1051</t>
  </si>
  <si>
    <t>FLP1052</t>
  </si>
  <si>
    <t>FLP1053</t>
  </si>
  <si>
    <t>FLP1054</t>
  </si>
  <si>
    <t>FLP1055</t>
  </si>
  <si>
    <t>CUST-1005</t>
  </si>
  <si>
    <t>FLP1056</t>
  </si>
  <si>
    <t>FLP1057</t>
  </si>
  <si>
    <t>FLP1058</t>
  </si>
  <si>
    <t>CUST-1026</t>
  </si>
  <si>
    <t>FLP1059</t>
  </si>
  <si>
    <t>FLP1060</t>
  </si>
  <si>
    <t>FLP1061</t>
  </si>
  <si>
    <t>FLP1062</t>
  </si>
  <si>
    <t>FLP1063</t>
  </si>
  <si>
    <t>FLP1064</t>
  </si>
  <si>
    <t>FLP1065</t>
  </si>
  <si>
    <t>CUST-992</t>
  </si>
  <si>
    <t>FLP1066</t>
  </si>
  <si>
    <t>FLP1067</t>
  </si>
  <si>
    <t>FLP1068</t>
  </si>
  <si>
    <t>FLP1069</t>
  </si>
  <si>
    <t>FLP1070</t>
  </si>
  <si>
    <t>FLP1071</t>
  </si>
  <si>
    <t>FLP1072</t>
  </si>
  <si>
    <t>FLP1073</t>
  </si>
  <si>
    <t>FLP1074</t>
  </si>
  <si>
    <t>FLP1075</t>
  </si>
  <si>
    <t>FLP1076</t>
  </si>
  <si>
    <t>FLP1077</t>
  </si>
  <si>
    <t>FLP1078</t>
  </si>
  <si>
    <t>FLP1079</t>
  </si>
  <si>
    <t>FLP1080</t>
  </si>
  <si>
    <t>FLP1081</t>
  </si>
  <si>
    <t>FLP1082</t>
  </si>
  <si>
    <t>FLP1083</t>
  </si>
  <si>
    <t>FLP1084</t>
  </si>
  <si>
    <t>FLP1085</t>
  </si>
  <si>
    <t>CUST-1046</t>
  </si>
  <si>
    <t>FLP1086</t>
  </si>
  <si>
    <t>FLP1087</t>
  </si>
  <si>
    <t>FLP1088</t>
  </si>
  <si>
    <t>FLP1089</t>
  </si>
  <si>
    <t>FLP1090</t>
  </si>
  <si>
    <t>FLP1091</t>
  </si>
  <si>
    <t>FLP1092</t>
  </si>
  <si>
    <t>FLP1093</t>
  </si>
  <si>
    <t>FLP1094</t>
  </si>
  <si>
    <t>FLP1095</t>
  </si>
  <si>
    <t>FLP1096</t>
  </si>
  <si>
    <t>FLP1097</t>
  </si>
  <si>
    <t>FLP1098</t>
  </si>
  <si>
    <t>FLP1099</t>
  </si>
  <si>
    <t>FLP1100</t>
  </si>
  <si>
    <t>Revenu Stats</t>
  </si>
  <si>
    <t>Row Labels</t>
  </si>
  <si>
    <t>Not Counted</t>
  </si>
  <si>
    <t>Counted</t>
  </si>
  <si>
    <t>Sum of Total Amount</t>
  </si>
  <si>
    <t>(Multiple Items)</t>
  </si>
  <si>
    <t>Column Labels</t>
  </si>
  <si>
    <t>Sum of Qty</t>
  </si>
  <si>
    <t>Count of Order ID</t>
  </si>
  <si>
    <t>Month</t>
  </si>
  <si>
    <t>Oct</t>
  </si>
  <si>
    <t>Nov</t>
  </si>
  <si>
    <t>Dec</t>
  </si>
  <si>
    <t>Flipkart Sales Dashboard</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</si>
</sst>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mm\-yy"/>
  </numFmts>
  <fonts count="5" x14ac:knownFonts="1">
    <font>
      <sz val="11"/>
      <color theme="1"/>
      <name val="Calibri"/>
      <family val="2"/>
      <charset val="1"/>
    </font>
    <font>
      <b/>
      <sz val="11"/>
      <color rgb="FFFFFFFF"/>
      <name val="Arial"/>
      <charset val="1"/>
    </font>
    <font>
      <sz val="11"/>
      <name val="Arial"/>
      <charset val="1"/>
    </font>
    <font>
      <i/>
      <sz val="11"/>
      <color rgb="FF7F7F7F"/>
      <name val="Arial"/>
      <charset val="1"/>
    </font>
    <font>
      <b/>
      <sz val="22"/>
      <color theme="0"/>
      <name val="Calibri"/>
      <family val="2"/>
    </font>
  </fonts>
  <fills count="5">
    <fill>
      <patternFill patternType="none"/>
    </fill>
    <fill>
      <patternFill patternType="gray125"/>
    </fill>
    <fill>
      <patternFill patternType="solid">
        <fgColor rgb="FF2F5496"/>
        <bgColor rgb="FF666699"/>
      </patternFill>
    </fill>
    <fill>
      <patternFill patternType="solid">
        <fgColor theme="9" tint="0.39997558519241921"/>
        <bgColor indexed="64"/>
      </patternFill>
    </fill>
    <fill>
      <patternFill patternType="solid">
        <fgColor theme="7" tint="0.79998168889431442"/>
        <bgColor indexed="64"/>
      </patternFill>
    </fill>
  </fills>
  <borders count="2">
    <border>
      <left/>
      <right/>
      <top/>
      <bottom/>
      <diagonal/>
    </border>
    <border>
      <left/>
      <right/>
      <top/>
      <bottom style="thin">
        <color rgb="FFBFBFBF"/>
      </bottom>
      <diagonal/>
    </border>
  </borders>
  <cellStyleXfs count="1">
    <xf numFmtId="0" fontId="0" fillId="0" borderId="0"/>
  </cellStyleXfs>
  <cellXfs count="11">
    <xf numFmtId="0" fontId="0" fillId="0" borderId="0" xfId="0"/>
    <xf numFmtId="0" fontId="1" fillId="2" borderId="0" xfId="0" applyFont="1" applyFill="1" applyAlignment="1">
      <alignment horizontal="center" vertical="center"/>
    </xf>
    <xf numFmtId="0" fontId="2" fillId="0" borderId="1" xfId="0" applyFont="1" applyBorder="1"/>
    <xf numFmtId="164" fontId="2" fillId="0" borderId="1" xfId="0" applyNumberFormat="1" applyFont="1" applyBorder="1"/>
    <xf numFmtId="3" fontId="2" fillId="0" borderId="1" xfId="0" applyNumberFormat="1" applyFont="1" applyBorder="1"/>
    <xf numFmtId="0" fontId="3" fillId="0" borderId="0" xfId="0" applyFont="1"/>
    <xf numFmtId="0" fontId="0" fillId="0" borderId="0" xfId="0" applyNumberFormat="1"/>
    <xf numFmtId="0" fontId="0" fillId="0" borderId="0" xfId="0" pivotButton="1"/>
    <xf numFmtId="0" fontId="0" fillId="0" borderId="0" xfId="0" applyAlignment="1">
      <alignment horizontal="left"/>
    </xf>
    <xf numFmtId="0" fontId="0" fillId="4" borderId="0" xfId="0" applyFill="1"/>
    <xf numFmtId="0" fontId="4" fillId="3" borderId="0" xfId="0" applyFont="1" applyFill="1" applyAlignment="1">
      <alignment horizontal="center" vertical="top"/>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29"/>
    </mc:Choice>
    <mc:Fallback>
      <c:style val="29"/>
    </mc:Fallback>
  </mc:AlternateContent>
  <c:pivotSource>
    <c:name>[flipkart_sales_data_600.xlsx]Sheet2!PivotTable1</c:name>
    <c:fmtId val="2"/>
  </c:pivotSource>
  <c:chart>
    <c:autoTitleDeleted val="1"/>
    <c:pivotFmts>
      <c:pivotFmt>
        <c:idx val="0"/>
        <c:marker>
          <c:symbol val="none"/>
        </c:marker>
        <c:dLbl>
          <c:idx val="0"/>
          <c:spPr/>
          <c:txPr>
            <a:bodyPr/>
            <a:lstStyle/>
            <a:p>
              <a:pPr>
                <a:defRPr sz="1100" b="1">
                  <a:solidFill>
                    <a:schemeClr val="tx1"/>
                  </a:solidFill>
                </a:defRPr>
              </a:pPr>
              <a:endParaRPr lang="en-US"/>
            </a:p>
          </c:txPr>
          <c:dLblPos val="outEnd"/>
          <c:showLegendKey val="0"/>
          <c:showVal val="1"/>
          <c:showCatName val="0"/>
          <c:showSerName val="0"/>
          <c:showPercent val="0"/>
          <c:showBubbleSize val="0"/>
        </c:dLbl>
      </c:pivotFmt>
    </c:pivotFmts>
    <c:plotArea>
      <c:layout>
        <c:manualLayout>
          <c:layoutTarget val="inner"/>
          <c:xMode val="edge"/>
          <c:yMode val="edge"/>
          <c:x val="0.11443285214348206"/>
          <c:y val="0.25769247594050743"/>
          <c:w val="0.84945603674540671"/>
          <c:h val="0.59625984251968511"/>
        </c:manualLayout>
      </c:layout>
      <c:barChart>
        <c:barDir val="col"/>
        <c:grouping val="clustered"/>
        <c:varyColors val="0"/>
        <c:ser>
          <c:idx val="0"/>
          <c:order val="0"/>
          <c:tx>
            <c:strRef>
              <c:f>Sheet2!$B$59</c:f>
              <c:strCache>
                <c:ptCount val="1"/>
                <c:pt idx="0">
                  <c:v>Total</c:v>
                </c:pt>
              </c:strCache>
            </c:strRef>
          </c:tx>
          <c:invertIfNegative val="0"/>
          <c:dLbls>
            <c:spPr/>
            <c:txPr>
              <a:bodyPr/>
              <a:lstStyle/>
              <a:p>
                <a:pPr>
                  <a:defRPr sz="1100" b="1">
                    <a:solidFill>
                      <a:schemeClr val="tx1"/>
                    </a:solidFill>
                  </a:defRPr>
                </a:pPr>
                <a:endParaRPr lang="en-US"/>
              </a:p>
            </c:txPr>
            <c:dLblPos val="outEnd"/>
            <c:showLegendKey val="0"/>
            <c:showVal val="1"/>
            <c:showCatName val="0"/>
            <c:showSerName val="0"/>
            <c:showPercent val="0"/>
            <c:showBubbleSize val="0"/>
            <c:showLeaderLines val="0"/>
          </c:dLbls>
          <c:cat>
            <c:strRef>
              <c:f>Sheet2!$A$60:$A$63</c:f>
              <c:strCache>
                <c:ptCount val="4"/>
                <c:pt idx="0">
                  <c:v>East</c:v>
                </c:pt>
                <c:pt idx="1">
                  <c:v>North</c:v>
                </c:pt>
                <c:pt idx="2">
                  <c:v>South</c:v>
                </c:pt>
                <c:pt idx="3">
                  <c:v>West</c:v>
                </c:pt>
              </c:strCache>
            </c:strRef>
          </c:cat>
          <c:val>
            <c:numRef>
              <c:f>Sheet2!$B$60:$B$63</c:f>
              <c:numCache>
                <c:formatCode>General</c:formatCode>
                <c:ptCount val="4"/>
                <c:pt idx="0">
                  <c:v>376400</c:v>
                </c:pt>
                <c:pt idx="1">
                  <c:v>331700</c:v>
                </c:pt>
                <c:pt idx="2">
                  <c:v>228600</c:v>
                </c:pt>
                <c:pt idx="3">
                  <c:v>687500</c:v>
                </c:pt>
              </c:numCache>
            </c:numRef>
          </c:val>
        </c:ser>
        <c:dLbls>
          <c:dLblPos val="outEnd"/>
          <c:showLegendKey val="0"/>
          <c:showVal val="1"/>
          <c:showCatName val="0"/>
          <c:showSerName val="0"/>
          <c:showPercent val="0"/>
          <c:showBubbleSize val="0"/>
        </c:dLbls>
        <c:gapWidth val="150"/>
        <c:axId val="207608832"/>
        <c:axId val="232537088"/>
      </c:barChart>
      <c:catAx>
        <c:axId val="207608832"/>
        <c:scaling>
          <c:orientation val="minMax"/>
        </c:scaling>
        <c:delete val="0"/>
        <c:axPos val="b"/>
        <c:majorTickMark val="out"/>
        <c:minorTickMark val="none"/>
        <c:tickLblPos val="nextTo"/>
        <c:txPr>
          <a:bodyPr/>
          <a:lstStyle/>
          <a:p>
            <a:pPr>
              <a:defRPr sz="1200"/>
            </a:pPr>
            <a:endParaRPr lang="en-US"/>
          </a:p>
        </c:txPr>
        <c:crossAx val="232537088"/>
        <c:crosses val="autoZero"/>
        <c:auto val="1"/>
        <c:lblAlgn val="ctr"/>
        <c:lblOffset val="100"/>
        <c:noMultiLvlLbl val="0"/>
      </c:catAx>
      <c:valAx>
        <c:axId val="232537088"/>
        <c:scaling>
          <c:orientation val="minMax"/>
        </c:scaling>
        <c:delete val="0"/>
        <c:axPos val="l"/>
        <c:majorGridlines/>
        <c:numFmt formatCode="General" sourceLinked="1"/>
        <c:majorTickMark val="out"/>
        <c:minorTickMark val="none"/>
        <c:tickLblPos val="nextTo"/>
        <c:crossAx val="207608832"/>
        <c:crosses val="autoZero"/>
        <c:crossBetween val="between"/>
      </c:val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29"/>
    </mc:Choice>
    <mc:Fallback>
      <c:style val="29"/>
    </mc:Fallback>
  </mc:AlternateContent>
  <c:pivotSource>
    <c:name>[flipkart_sales_data_600.xlsx]Sheet2!PivotTable2</c:name>
    <c:fmtId val="10"/>
  </c:pivotSource>
  <c:chart>
    <c:title>
      <c:tx>
        <c:rich>
          <a:bodyPr/>
          <a:lstStyle/>
          <a:p>
            <a:pPr>
              <a:defRPr/>
            </a:pPr>
            <a:r>
              <a:rPr lang="en-US"/>
              <a:t>Categories </a:t>
            </a:r>
            <a:r>
              <a:rPr lang="en-US" baseline="0"/>
              <a:t>Sales</a:t>
            </a:r>
          </a:p>
          <a:p>
            <a:pPr>
              <a:defRPr/>
            </a:pPr>
            <a:endParaRPr lang="en-US"/>
          </a:p>
        </c:rich>
      </c:tx>
      <c:layout>
        <c:manualLayout>
          <c:xMode val="edge"/>
          <c:yMode val="edge"/>
          <c:x val="0.3297985564304462"/>
          <c:y val="2.2127442403032958E-2"/>
        </c:manualLayout>
      </c:layout>
      <c:overlay val="0"/>
    </c:title>
    <c:autoTitleDeleted val="0"/>
    <c:pivotFmts>
      <c:pivotFmt>
        <c:idx val="0"/>
        <c:marker>
          <c:symbol val="none"/>
        </c:marker>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spPr/>
          <c:txPr>
            <a:bodyPr/>
            <a:lstStyle/>
            <a:p>
              <a:pPr>
                <a:defRPr/>
              </a:pPr>
              <a:endParaRPr lang="en-US"/>
            </a:p>
          </c:txPr>
          <c:showLegendKey val="0"/>
          <c:showVal val="1"/>
          <c:showCatName val="0"/>
          <c:showSerName val="0"/>
          <c:showPercent val="0"/>
          <c:showBubbleSize val="0"/>
        </c:dLbl>
      </c:pivotFmt>
    </c:pivotFmts>
    <c:plotArea>
      <c:layout>
        <c:manualLayout>
          <c:layoutTarget val="inner"/>
          <c:xMode val="edge"/>
          <c:yMode val="edge"/>
          <c:x val="3.0555555555555555E-2"/>
          <c:y val="0.16078484981044039"/>
          <c:w val="0.94722222222222219"/>
          <c:h val="0.63166338582677162"/>
        </c:manualLayout>
      </c:layout>
      <c:barChart>
        <c:barDir val="col"/>
        <c:grouping val="clustered"/>
        <c:varyColors val="0"/>
        <c:ser>
          <c:idx val="0"/>
          <c:order val="0"/>
          <c:tx>
            <c:strRef>
              <c:f>Sheet2!$G$65</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Sheet2!$F$66:$F$70</c:f>
              <c:strCache>
                <c:ptCount val="5"/>
                <c:pt idx="0">
                  <c:v>Appliances</c:v>
                </c:pt>
                <c:pt idx="1">
                  <c:v>Electronics</c:v>
                </c:pt>
                <c:pt idx="2">
                  <c:v>Fashion</c:v>
                </c:pt>
                <c:pt idx="3">
                  <c:v>Furniture</c:v>
                </c:pt>
                <c:pt idx="4">
                  <c:v>Home Decor</c:v>
                </c:pt>
              </c:strCache>
            </c:strRef>
          </c:cat>
          <c:val>
            <c:numRef>
              <c:f>Sheet2!$G$66:$G$70</c:f>
              <c:numCache>
                <c:formatCode>General</c:formatCode>
                <c:ptCount val="5"/>
                <c:pt idx="0">
                  <c:v>1163000</c:v>
                </c:pt>
                <c:pt idx="1">
                  <c:v>7142700</c:v>
                </c:pt>
                <c:pt idx="2">
                  <c:v>414300</c:v>
                </c:pt>
                <c:pt idx="3">
                  <c:v>1420000</c:v>
                </c:pt>
                <c:pt idx="4">
                  <c:v>243400</c:v>
                </c:pt>
              </c:numCache>
            </c:numRef>
          </c:val>
        </c:ser>
        <c:dLbls>
          <c:showLegendKey val="0"/>
          <c:showVal val="1"/>
          <c:showCatName val="0"/>
          <c:showSerName val="0"/>
          <c:showPercent val="0"/>
          <c:showBubbleSize val="0"/>
        </c:dLbls>
        <c:gapWidth val="150"/>
        <c:overlap val="-25"/>
        <c:axId val="231183872"/>
        <c:axId val="231176832"/>
      </c:barChart>
      <c:valAx>
        <c:axId val="231176832"/>
        <c:scaling>
          <c:orientation val="minMax"/>
        </c:scaling>
        <c:delete val="1"/>
        <c:axPos val="l"/>
        <c:numFmt formatCode="General" sourceLinked="1"/>
        <c:majorTickMark val="none"/>
        <c:minorTickMark val="none"/>
        <c:tickLblPos val="nextTo"/>
        <c:crossAx val="231183872"/>
        <c:crosses val="autoZero"/>
        <c:crossBetween val="between"/>
      </c:valAx>
      <c:catAx>
        <c:axId val="231183872"/>
        <c:scaling>
          <c:orientation val="minMax"/>
        </c:scaling>
        <c:delete val="0"/>
        <c:axPos val="b"/>
        <c:majorTickMark val="none"/>
        <c:minorTickMark val="none"/>
        <c:tickLblPos val="nextTo"/>
        <c:crossAx val="231176832"/>
        <c:crosses val="autoZero"/>
        <c:auto val="1"/>
        <c:lblAlgn val="ctr"/>
        <c:lblOffset val="100"/>
        <c:noMultiLvlLbl val="0"/>
      </c:cat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34"/>
    </mc:Choice>
    <mc:Fallback>
      <c:style val="34"/>
    </mc:Fallback>
  </mc:AlternateContent>
  <c:pivotSource>
    <c:name>[flipkart_sales_data_600.xlsx]Sheet2!PivotTable3</c:name>
    <c:fmtId val="6"/>
  </c:pivotSource>
  <c:chart>
    <c:title>
      <c:tx>
        <c:rich>
          <a:bodyPr/>
          <a:lstStyle/>
          <a:p>
            <a:pPr>
              <a:defRPr/>
            </a:pPr>
            <a:r>
              <a:rPr lang="en-US"/>
              <a:t>Order</a:t>
            </a:r>
            <a:r>
              <a:rPr lang="en-US" baseline="0"/>
              <a:t> Count</a:t>
            </a:r>
            <a:endParaRPr lang="en-US"/>
          </a:p>
        </c:rich>
      </c:tx>
      <c:layout>
        <c:manualLayout>
          <c:xMode val="edge"/>
          <c:yMode val="edge"/>
          <c:x val="0.82444444444444442"/>
          <c:y val="4.0645960921551476E-2"/>
        </c:manualLayout>
      </c:layout>
      <c:overlay val="1"/>
    </c:title>
    <c:autoTitleDeleted val="0"/>
    <c:pivotFmts>
      <c:pivotFmt>
        <c:idx val="0"/>
      </c:pivotFmt>
      <c:pivotFmt>
        <c:idx val="1"/>
      </c:pivotFmt>
      <c:pivotFmt>
        <c:idx val="2"/>
        <c:marker>
          <c:symbol val="none"/>
        </c:marker>
      </c:pivotFmt>
      <c:pivotFmt>
        <c:idx val="3"/>
        <c:marker>
          <c:symbol val="none"/>
        </c:marker>
      </c:pivotFmt>
    </c:pivotFmts>
    <c:plotArea>
      <c:layout/>
      <c:doughnutChart>
        <c:varyColors val="1"/>
        <c:ser>
          <c:idx val="0"/>
          <c:order val="0"/>
          <c:tx>
            <c:strRef>
              <c:f>Sheet2!$K$70</c:f>
              <c:strCache>
                <c:ptCount val="1"/>
                <c:pt idx="0">
                  <c:v>Total</c:v>
                </c:pt>
              </c:strCache>
            </c:strRef>
          </c:tx>
          <c:cat>
            <c:strRef>
              <c:f>Sheet2!$J$71:$J$74</c:f>
              <c:strCache>
                <c:ptCount val="4"/>
                <c:pt idx="0">
                  <c:v>Cancelled</c:v>
                </c:pt>
                <c:pt idx="1">
                  <c:v>Delivered</c:v>
                </c:pt>
                <c:pt idx="2">
                  <c:v>Returned</c:v>
                </c:pt>
                <c:pt idx="3">
                  <c:v>Shipped</c:v>
                </c:pt>
              </c:strCache>
            </c:strRef>
          </c:cat>
          <c:val>
            <c:numRef>
              <c:f>Sheet2!$K$71:$K$74</c:f>
              <c:numCache>
                <c:formatCode>General</c:formatCode>
                <c:ptCount val="4"/>
                <c:pt idx="0">
                  <c:v>54</c:v>
                </c:pt>
                <c:pt idx="1">
                  <c:v>424</c:v>
                </c:pt>
                <c:pt idx="2">
                  <c:v>38</c:v>
                </c:pt>
                <c:pt idx="3">
                  <c:v>84</c:v>
                </c:pt>
              </c:numCache>
            </c:numRef>
          </c:val>
        </c:ser>
        <c:dLbls>
          <c:showLegendKey val="0"/>
          <c:showVal val="0"/>
          <c:showCatName val="0"/>
          <c:showSerName val="0"/>
          <c:showPercent val="0"/>
          <c:showBubbleSize val="0"/>
          <c:showLeaderLines val="1"/>
        </c:dLbls>
        <c:firstSliceAng val="0"/>
        <c:holeSize val="50"/>
      </c:doughnutChart>
    </c:plotArea>
    <c:legend>
      <c:legendPos val="b"/>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[flipkart_sales_data_600.xlsx]Sheet2!PivotTable4</c:name>
    <c:fmtId val="0"/>
  </c:pivotSource>
  <c:chart>
    <c:title>
      <c:tx>
        <c:rich>
          <a:bodyPr/>
          <a:lstStyle/>
          <a:p>
            <a:pPr>
              <a:defRPr/>
            </a:pPr>
            <a:r>
              <a:rPr lang="en-IN"/>
              <a:t>Payment</a:t>
            </a:r>
            <a:r>
              <a:rPr lang="en-IN" baseline="0"/>
              <a:t> Mathod</a:t>
            </a:r>
          </a:p>
        </c:rich>
      </c:tx>
      <c:layout>
        <c:manualLayout>
          <c:xMode val="edge"/>
          <c:yMode val="edge"/>
          <c:x val="0.62358333333333338"/>
          <c:y val="4.5275590551181105E-2"/>
        </c:manualLayout>
      </c:layout>
      <c:overlay val="1"/>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s>
    <c:plotArea>
      <c:layout/>
      <c:barChart>
        <c:barDir val="col"/>
        <c:grouping val="clustered"/>
        <c:varyColors val="0"/>
        <c:ser>
          <c:idx val="0"/>
          <c:order val="0"/>
          <c:tx>
            <c:strRef>
              <c:f>Sheet2!$B$1:$B$2</c:f>
              <c:strCache>
                <c:ptCount val="1"/>
                <c:pt idx="0">
                  <c:v>COD</c:v>
                </c:pt>
              </c:strCache>
            </c:strRef>
          </c:tx>
          <c:invertIfNegative val="0"/>
          <c:cat>
            <c:strRef>
              <c:f>Sheet2!$A$3:$A$6</c:f>
              <c:strCache>
                <c:ptCount val="4"/>
                <c:pt idx="0">
                  <c:v>Cancelled</c:v>
                </c:pt>
                <c:pt idx="1">
                  <c:v>Delivered</c:v>
                </c:pt>
                <c:pt idx="2">
                  <c:v>Returned</c:v>
                </c:pt>
                <c:pt idx="3">
                  <c:v>Shipped</c:v>
                </c:pt>
              </c:strCache>
            </c:strRef>
          </c:cat>
          <c:val>
            <c:numRef>
              <c:f>Sheet2!$B$3:$B$6</c:f>
              <c:numCache>
                <c:formatCode>General</c:formatCode>
                <c:ptCount val="4"/>
                <c:pt idx="0">
                  <c:v>14</c:v>
                </c:pt>
                <c:pt idx="1">
                  <c:v>104</c:v>
                </c:pt>
                <c:pt idx="2">
                  <c:v>9</c:v>
                </c:pt>
                <c:pt idx="3">
                  <c:v>19</c:v>
                </c:pt>
              </c:numCache>
            </c:numRef>
          </c:val>
        </c:ser>
        <c:ser>
          <c:idx val="1"/>
          <c:order val="1"/>
          <c:tx>
            <c:strRef>
              <c:f>Sheet2!$C$1:$C$2</c:f>
              <c:strCache>
                <c:ptCount val="1"/>
                <c:pt idx="0">
                  <c:v>Credit Card</c:v>
                </c:pt>
              </c:strCache>
            </c:strRef>
          </c:tx>
          <c:invertIfNegative val="0"/>
          <c:cat>
            <c:strRef>
              <c:f>Sheet2!$A$3:$A$6</c:f>
              <c:strCache>
                <c:ptCount val="4"/>
                <c:pt idx="0">
                  <c:v>Cancelled</c:v>
                </c:pt>
                <c:pt idx="1">
                  <c:v>Delivered</c:v>
                </c:pt>
                <c:pt idx="2">
                  <c:v>Returned</c:v>
                </c:pt>
                <c:pt idx="3">
                  <c:v>Shipped</c:v>
                </c:pt>
              </c:strCache>
            </c:strRef>
          </c:cat>
          <c:val>
            <c:numRef>
              <c:f>Sheet2!$C$3:$C$6</c:f>
              <c:numCache>
                <c:formatCode>General</c:formatCode>
                <c:ptCount val="4"/>
                <c:pt idx="0">
                  <c:v>9</c:v>
                </c:pt>
                <c:pt idx="1">
                  <c:v>114</c:v>
                </c:pt>
                <c:pt idx="2">
                  <c:v>14</c:v>
                </c:pt>
                <c:pt idx="3">
                  <c:v>25</c:v>
                </c:pt>
              </c:numCache>
            </c:numRef>
          </c:val>
        </c:ser>
        <c:ser>
          <c:idx val="2"/>
          <c:order val="2"/>
          <c:tx>
            <c:strRef>
              <c:f>Sheet2!$D$1:$D$2</c:f>
              <c:strCache>
                <c:ptCount val="1"/>
                <c:pt idx="0">
                  <c:v>Debit Card</c:v>
                </c:pt>
              </c:strCache>
            </c:strRef>
          </c:tx>
          <c:invertIfNegative val="0"/>
          <c:cat>
            <c:strRef>
              <c:f>Sheet2!$A$3:$A$6</c:f>
              <c:strCache>
                <c:ptCount val="4"/>
                <c:pt idx="0">
                  <c:v>Cancelled</c:v>
                </c:pt>
                <c:pt idx="1">
                  <c:v>Delivered</c:v>
                </c:pt>
                <c:pt idx="2">
                  <c:v>Returned</c:v>
                </c:pt>
                <c:pt idx="3">
                  <c:v>Shipped</c:v>
                </c:pt>
              </c:strCache>
            </c:strRef>
          </c:cat>
          <c:val>
            <c:numRef>
              <c:f>Sheet2!$D$3:$D$6</c:f>
              <c:numCache>
                <c:formatCode>General</c:formatCode>
                <c:ptCount val="4"/>
                <c:pt idx="0">
                  <c:v>14</c:v>
                </c:pt>
                <c:pt idx="1">
                  <c:v>76</c:v>
                </c:pt>
                <c:pt idx="2">
                  <c:v>5</c:v>
                </c:pt>
                <c:pt idx="3">
                  <c:v>16</c:v>
                </c:pt>
              </c:numCache>
            </c:numRef>
          </c:val>
        </c:ser>
        <c:ser>
          <c:idx val="3"/>
          <c:order val="3"/>
          <c:tx>
            <c:strRef>
              <c:f>Sheet2!$E$1:$E$2</c:f>
              <c:strCache>
                <c:ptCount val="1"/>
                <c:pt idx="0">
                  <c:v>Net Banking</c:v>
                </c:pt>
              </c:strCache>
            </c:strRef>
          </c:tx>
          <c:invertIfNegative val="0"/>
          <c:cat>
            <c:strRef>
              <c:f>Sheet2!$A$3:$A$6</c:f>
              <c:strCache>
                <c:ptCount val="4"/>
                <c:pt idx="0">
                  <c:v>Cancelled</c:v>
                </c:pt>
                <c:pt idx="1">
                  <c:v>Delivered</c:v>
                </c:pt>
                <c:pt idx="2">
                  <c:v>Returned</c:v>
                </c:pt>
                <c:pt idx="3">
                  <c:v>Shipped</c:v>
                </c:pt>
              </c:strCache>
            </c:strRef>
          </c:cat>
          <c:val>
            <c:numRef>
              <c:f>Sheet2!$E$3:$E$6</c:f>
              <c:numCache>
                <c:formatCode>General</c:formatCode>
                <c:ptCount val="4"/>
                <c:pt idx="0">
                  <c:v>8</c:v>
                </c:pt>
                <c:pt idx="1">
                  <c:v>65</c:v>
                </c:pt>
                <c:pt idx="2">
                  <c:v>4</c:v>
                </c:pt>
                <c:pt idx="3">
                  <c:v>7</c:v>
                </c:pt>
              </c:numCache>
            </c:numRef>
          </c:val>
        </c:ser>
        <c:ser>
          <c:idx val="4"/>
          <c:order val="4"/>
          <c:tx>
            <c:strRef>
              <c:f>Sheet2!$F$1:$F$2</c:f>
              <c:strCache>
                <c:ptCount val="1"/>
                <c:pt idx="0">
                  <c:v>UPI</c:v>
                </c:pt>
              </c:strCache>
            </c:strRef>
          </c:tx>
          <c:invertIfNegative val="0"/>
          <c:cat>
            <c:strRef>
              <c:f>Sheet2!$A$3:$A$6</c:f>
              <c:strCache>
                <c:ptCount val="4"/>
                <c:pt idx="0">
                  <c:v>Cancelled</c:v>
                </c:pt>
                <c:pt idx="1">
                  <c:v>Delivered</c:v>
                </c:pt>
                <c:pt idx="2">
                  <c:v>Returned</c:v>
                </c:pt>
                <c:pt idx="3">
                  <c:v>Shipped</c:v>
                </c:pt>
              </c:strCache>
            </c:strRef>
          </c:cat>
          <c:val>
            <c:numRef>
              <c:f>Sheet2!$F$3:$F$6</c:f>
              <c:numCache>
                <c:formatCode>General</c:formatCode>
                <c:ptCount val="4"/>
                <c:pt idx="0">
                  <c:v>21</c:v>
                </c:pt>
                <c:pt idx="1">
                  <c:v>178</c:v>
                </c:pt>
                <c:pt idx="2">
                  <c:v>18</c:v>
                </c:pt>
                <c:pt idx="3">
                  <c:v>49</c:v>
                </c:pt>
              </c:numCache>
            </c:numRef>
          </c:val>
        </c:ser>
        <c:dLbls>
          <c:showLegendKey val="0"/>
          <c:showVal val="0"/>
          <c:showCatName val="0"/>
          <c:showSerName val="0"/>
          <c:showPercent val="0"/>
          <c:showBubbleSize val="0"/>
        </c:dLbls>
        <c:gapWidth val="150"/>
        <c:axId val="231084416"/>
        <c:axId val="231085952"/>
      </c:barChart>
      <c:catAx>
        <c:axId val="231084416"/>
        <c:scaling>
          <c:orientation val="minMax"/>
        </c:scaling>
        <c:delete val="0"/>
        <c:axPos val="b"/>
        <c:majorTickMark val="out"/>
        <c:minorTickMark val="none"/>
        <c:tickLblPos val="nextTo"/>
        <c:crossAx val="231085952"/>
        <c:crosses val="autoZero"/>
        <c:auto val="1"/>
        <c:lblAlgn val="ctr"/>
        <c:lblOffset val="100"/>
        <c:noMultiLvlLbl val="0"/>
      </c:catAx>
      <c:valAx>
        <c:axId val="231085952"/>
        <c:scaling>
          <c:orientation val="minMax"/>
        </c:scaling>
        <c:delete val="0"/>
        <c:axPos val="l"/>
        <c:majorGridlines/>
        <c:numFmt formatCode="General" sourceLinked="1"/>
        <c:majorTickMark val="out"/>
        <c:minorTickMark val="none"/>
        <c:tickLblPos val="nextTo"/>
        <c:crossAx val="23108441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37"/>
    </mc:Choice>
    <mc:Fallback>
      <c:style val="37"/>
    </mc:Fallback>
  </mc:AlternateContent>
  <c:pivotSource>
    <c:name>[flipkart_sales_data_600.xlsx]Sheet2!PivotTable1</c:name>
    <c:fmtId val="4"/>
  </c:pivotSource>
  <c:chart>
    <c:title>
      <c:tx>
        <c:rich>
          <a:bodyPr/>
          <a:lstStyle/>
          <a:p>
            <a:pPr>
              <a:defRPr/>
            </a:pPr>
            <a:r>
              <a:rPr lang="en-IN"/>
              <a:t>Zone</a:t>
            </a:r>
          </a:p>
        </c:rich>
      </c:tx>
      <c:layout>
        <c:manualLayout>
          <c:xMode val="edge"/>
          <c:yMode val="edge"/>
          <c:x val="0.80549282984205306"/>
          <c:y val="3.9625255176436287E-2"/>
        </c:manualLayout>
      </c:layout>
      <c:overlay val="0"/>
    </c:title>
    <c:autoTitleDeleted val="0"/>
    <c:pivotFmts>
      <c:pivotFmt>
        <c:idx val="0"/>
        <c:dLbl>
          <c:idx val="0"/>
          <c:dLblPos val="outEnd"/>
          <c:showLegendKey val="0"/>
          <c:showVal val="1"/>
          <c:showCatName val="0"/>
          <c:showSerName val="0"/>
          <c:showPercent val="0"/>
          <c:showBubbleSize val="0"/>
        </c:dLbl>
      </c:pivotFmt>
      <c:pivotFmt>
        <c:idx val="1"/>
        <c:dLbl>
          <c:idx val="0"/>
          <c:dLblPos val="outEnd"/>
          <c:showLegendKey val="0"/>
          <c:showVal val="1"/>
          <c:showCatName val="0"/>
          <c:showSerName val="0"/>
          <c:showPercent val="0"/>
          <c:showBubbleSize val="0"/>
        </c:dLbl>
      </c:pivotFmt>
      <c:pivotFmt>
        <c:idx val="2"/>
        <c:marker>
          <c:symbol val="none"/>
        </c:marker>
        <c:dLbl>
          <c:idx val="0"/>
          <c:layout/>
          <c:showLegendKey val="0"/>
          <c:showVal val="0"/>
          <c:showCatName val="1"/>
          <c:showSerName val="0"/>
          <c:showPercent val="1"/>
          <c:showBubbleSize val="0"/>
        </c:dLbl>
      </c:pivotFmt>
    </c:pivotFmts>
    <c:plotArea>
      <c:layout>
        <c:manualLayout>
          <c:layoutTarget val="inner"/>
          <c:xMode val="edge"/>
          <c:yMode val="edge"/>
          <c:x val="0.34633154608542255"/>
          <c:y val="0.17419291338582676"/>
          <c:w val="0.46475788647786326"/>
          <c:h val="0.77908683289588798"/>
        </c:manualLayout>
      </c:layout>
      <c:pieChart>
        <c:varyColors val="1"/>
        <c:ser>
          <c:idx val="0"/>
          <c:order val="0"/>
          <c:tx>
            <c:strRef>
              <c:f>Sheet2!$B$59</c:f>
              <c:strCache>
                <c:ptCount val="1"/>
                <c:pt idx="0">
                  <c:v>Total</c:v>
                </c:pt>
              </c:strCache>
            </c:strRef>
          </c:tx>
          <c:dLbls>
            <c:spPr/>
            <c:txPr>
              <a:bodyPr/>
              <a:lstStyle/>
              <a:p>
                <a:pPr>
                  <a:defRPr/>
                </a:pPr>
                <a:endParaRPr lang="en-US"/>
              </a:p>
            </c:txPr>
            <c:showLegendKey val="0"/>
            <c:showVal val="0"/>
            <c:showCatName val="1"/>
            <c:showSerName val="0"/>
            <c:showPercent val="1"/>
            <c:showBubbleSize val="0"/>
            <c:showLeaderLines val="1"/>
          </c:dLbls>
          <c:cat>
            <c:strRef>
              <c:f>Sheet2!$A$60:$A$63</c:f>
              <c:strCache>
                <c:ptCount val="4"/>
                <c:pt idx="0">
                  <c:v>East</c:v>
                </c:pt>
                <c:pt idx="1">
                  <c:v>North</c:v>
                </c:pt>
                <c:pt idx="2">
                  <c:v>South</c:v>
                </c:pt>
                <c:pt idx="3">
                  <c:v>West</c:v>
                </c:pt>
              </c:strCache>
            </c:strRef>
          </c:cat>
          <c:val>
            <c:numRef>
              <c:f>Sheet2!$B$60:$B$63</c:f>
              <c:numCache>
                <c:formatCode>General</c:formatCode>
                <c:ptCount val="4"/>
                <c:pt idx="0">
                  <c:v>376400</c:v>
                </c:pt>
                <c:pt idx="1">
                  <c:v>331700</c:v>
                </c:pt>
                <c:pt idx="2">
                  <c:v>228600</c:v>
                </c:pt>
                <c:pt idx="3">
                  <c:v>687500</c:v>
                </c:pt>
              </c:numCache>
            </c:numRef>
          </c:val>
        </c:ser>
        <c:dLbls>
          <c:showLegendKey val="0"/>
          <c:showVal val="0"/>
          <c:showCatName val="1"/>
          <c:showSerName val="0"/>
          <c:showPercent val="1"/>
          <c:showBubbleSize val="0"/>
          <c:showLeaderLines val="1"/>
        </c:dLbls>
        <c:firstSliceAng val="0"/>
      </c:pieChart>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29"/>
    </mc:Choice>
    <mc:Fallback>
      <c:style val="29"/>
    </mc:Fallback>
  </mc:AlternateContent>
  <c:pivotSource>
    <c:name>[flipkart_sales_data_600.xlsx]Sheet2!PivotTable2</c:name>
    <c:fmtId val="8"/>
  </c:pivotSource>
  <c:chart>
    <c:title>
      <c:tx>
        <c:rich>
          <a:bodyPr/>
          <a:lstStyle/>
          <a:p>
            <a:pPr>
              <a:defRPr/>
            </a:pPr>
            <a:r>
              <a:rPr lang="en-US"/>
              <a:t>Categories </a:t>
            </a:r>
            <a:r>
              <a:rPr lang="en-US" baseline="0"/>
              <a:t>Sales</a:t>
            </a:r>
          </a:p>
          <a:p>
            <a:pPr>
              <a:defRPr/>
            </a:pPr>
            <a:endParaRPr lang="en-US"/>
          </a:p>
        </c:rich>
      </c:tx>
      <c:layout>
        <c:manualLayout>
          <c:xMode val="edge"/>
          <c:yMode val="edge"/>
          <c:x val="0.63359287420585608"/>
          <c:y val="2.6757072032662584E-2"/>
        </c:manualLayout>
      </c:layout>
      <c:overlay val="0"/>
    </c:title>
    <c:autoTitleDeleted val="0"/>
    <c:pivotFmts>
      <c:pivotFmt>
        <c:idx val="0"/>
        <c:dLbl>
          <c:idx val="0"/>
          <c:spPr/>
          <c:txPr>
            <a:bodyPr/>
            <a:lstStyle/>
            <a:p>
              <a:pPr>
                <a:defRPr/>
              </a:pPr>
              <a:endParaRPr lang="en-US"/>
            </a:p>
          </c:txPr>
          <c:showLegendKey val="0"/>
          <c:showVal val="1"/>
          <c:showCatName val="0"/>
          <c:showSerName val="0"/>
          <c:showPercent val="0"/>
          <c:showBubbleSize val="0"/>
        </c:dLbl>
      </c:pivotFmt>
      <c:pivotFmt>
        <c:idx val="1"/>
        <c:marker>
          <c:symbol val="none"/>
        </c:marker>
        <c:dLbl>
          <c:idx val="0"/>
          <c:spPr/>
          <c:txPr>
            <a:bodyPr/>
            <a:lstStyle/>
            <a:p>
              <a:pPr>
                <a:defRPr/>
              </a:pPr>
              <a:endParaRPr lang="en-US"/>
            </a:p>
          </c:txPr>
          <c:showLegendKey val="0"/>
          <c:showVal val="1"/>
          <c:showCatName val="0"/>
          <c:showSerName val="0"/>
          <c:showPercent val="0"/>
          <c:showBubbleSize val="0"/>
        </c:dLbl>
      </c:pivotFmt>
      <c:pivotFmt>
        <c:idx val="2"/>
        <c:marker>
          <c:symbol val="none"/>
        </c:marker>
        <c:dLbl>
          <c:idx val="0"/>
          <c:layout/>
          <c:spPr/>
          <c:txPr>
            <a:bodyPr/>
            <a:lstStyle/>
            <a:p>
              <a:pPr>
                <a:defRPr/>
              </a:pPr>
              <a:endParaRPr lang="en-US"/>
            </a:p>
          </c:txPr>
          <c:showLegendKey val="0"/>
          <c:showVal val="1"/>
          <c:showCatName val="0"/>
          <c:showSerName val="0"/>
          <c:showPercent val="0"/>
          <c:showBubbleSize val="0"/>
        </c:dLbl>
      </c:pivotFmt>
    </c:pivotFmts>
    <c:plotArea>
      <c:layout>
        <c:manualLayout>
          <c:layoutTarget val="inner"/>
          <c:xMode val="edge"/>
          <c:yMode val="edge"/>
          <c:x val="1.9554368583094561E-3"/>
          <c:y val="0.1437223049821475"/>
          <c:w val="0.94722222222222219"/>
          <c:h val="0.63166338582677162"/>
        </c:manualLayout>
      </c:layout>
      <c:barChart>
        <c:barDir val="col"/>
        <c:grouping val="clustered"/>
        <c:varyColors val="0"/>
        <c:ser>
          <c:idx val="0"/>
          <c:order val="0"/>
          <c:tx>
            <c:strRef>
              <c:f>Sheet2!$G$65</c:f>
              <c:strCache>
                <c:ptCount val="1"/>
                <c:pt idx="0">
                  <c:v>Total</c:v>
                </c:pt>
              </c:strCache>
            </c:strRef>
          </c:tx>
          <c:invertIfNegative val="0"/>
          <c:dLbls>
            <c:spPr/>
            <c:txPr>
              <a:bodyPr/>
              <a:lstStyle/>
              <a:p>
                <a:pPr>
                  <a:defRPr/>
                </a:pPr>
                <a:endParaRPr lang="en-US"/>
              </a:p>
            </c:txPr>
            <c:showLegendKey val="0"/>
            <c:showVal val="1"/>
            <c:showCatName val="0"/>
            <c:showSerName val="0"/>
            <c:showPercent val="0"/>
            <c:showBubbleSize val="0"/>
            <c:showLeaderLines val="0"/>
          </c:dLbls>
          <c:cat>
            <c:strRef>
              <c:f>Sheet2!$F$66:$F$70</c:f>
              <c:strCache>
                <c:ptCount val="5"/>
                <c:pt idx="0">
                  <c:v>Appliances</c:v>
                </c:pt>
                <c:pt idx="1">
                  <c:v>Electronics</c:v>
                </c:pt>
                <c:pt idx="2">
                  <c:v>Fashion</c:v>
                </c:pt>
                <c:pt idx="3">
                  <c:v>Furniture</c:v>
                </c:pt>
                <c:pt idx="4">
                  <c:v>Home Decor</c:v>
                </c:pt>
              </c:strCache>
            </c:strRef>
          </c:cat>
          <c:val>
            <c:numRef>
              <c:f>Sheet2!$G$66:$G$70</c:f>
              <c:numCache>
                <c:formatCode>General</c:formatCode>
                <c:ptCount val="5"/>
                <c:pt idx="0">
                  <c:v>1163000</c:v>
                </c:pt>
                <c:pt idx="1">
                  <c:v>7142700</c:v>
                </c:pt>
                <c:pt idx="2">
                  <c:v>414300</c:v>
                </c:pt>
                <c:pt idx="3">
                  <c:v>1420000</c:v>
                </c:pt>
                <c:pt idx="4">
                  <c:v>243400</c:v>
                </c:pt>
              </c:numCache>
            </c:numRef>
          </c:val>
        </c:ser>
        <c:dLbls>
          <c:showLegendKey val="0"/>
          <c:showVal val="1"/>
          <c:showCatName val="0"/>
          <c:showSerName val="0"/>
          <c:showPercent val="0"/>
          <c:showBubbleSize val="0"/>
        </c:dLbls>
        <c:gapWidth val="150"/>
        <c:overlap val="-25"/>
        <c:axId val="230353152"/>
        <c:axId val="230325632"/>
      </c:barChart>
      <c:valAx>
        <c:axId val="230325632"/>
        <c:scaling>
          <c:orientation val="minMax"/>
        </c:scaling>
        <c:delete val="1"/>
        <c:axPos val="l"/>
        <c:numFmt formatCode="General" sourceLinked="1"/>
        <c:majorTickMark val="none"/>
        <c:minorTickMark val="none"/>
        <c:tickLblPos val="nextTo"/>
        <c:crossAx val="230353152"/>
        <c:crosses val="autoZero"/>
        <c:crossBetween val="between"/>
      </c:valAx>
      <c:catAx>
        <c:axId val="230353152"/>
        <c:scaling>
          <c:orientation val="minMax"/>
        </c:scaling>
        <c:delete val="0"/>
        <c:axPos val="b"/>
        <c:majorTickMark val="none"/>
        <c:minorTickMark val="none"/>
        <c:tickLblPos val="nextTo"/>
        <c:crossAx val="230325632"/>
        <c:crosses val="autoZero"/>
        <c:auto val="1"/>
        <c:lblAlgn val="ctr"/>
        <c:lblOffset val="100"/>
        <c:noMultiLvlLbl val="0"/>
      </c:catAx>
    </c:plotArea>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34"/>
    </mc:Choice>
    <mc:Fallback>
      <c:style val="34"/>
    </mc:Fallback>
  </mc:AlternateContent>
  <c:pivotSource>
    <c:name>[flipkart_sales_data_600.xlsx]Sheet2!PivotTable3</c:name>
    <c:fmtId val="4"/>
  </c:pivotSource>
  <c:chart>
    <c:title>
      <c:tx>
        <c:rich>
          <a:bodyPr/>
          <a:lstStyle/>
          <a:p>
            <a:pPr>
              <a:defRPr/>
            </a:pPr>
            <a:r>
              <a:rPr lang="en-US"/>
              <a:t>Order</a:t>
            </a:r>
            <a:r>
              <a:rPr lang="en-US" baseline="0"/>
              <a:t> Count</a:t>
            </a:r>
            <a:endParaRPr lang="en-US"/>
          </a:p>
        </c:rich>
      </c:tx>
      <c:layout>
        <c:manualLayout>
          <c:xMode val="edge"/>
          <c:yMode val="edge"/>
          <c:x val="0.82444444444444442"/>
          <c:y val="4.0645960921551476E-2"/>
        </c:manualLayout>
      </c:layout>
      <c:overlay val="1"/>
    </c:title>
    <c:autoTitleDeleted val="0"/>
    <c:pivotFmts>
      <c:pivotFmt>
        <c:idx val="0"/>
      </c:pivotFmt>
      <c:pivotFmt>
        <c:idx val="1"/>
      </c:pivotFmt>
      <c:pivotFmt>
        <c:idx val="2"/>
        <c:marker>
          <c:symbol val="none"/>
        </c:marker>
      </c:pivotFmt>
      <c:pivotFmt>
        <c:idx val="3"/>
        <c:marker>
          <c:symbol val="none"/>
        </c:marker>
      </c:pivotFmt>
    </c:pivotFmts>
    <c:plotArea>
      <c:layout/>
      <c:doughnutChart>
        <c:varyColors val="1"/>
        <c:ser>
          <c:idx val="0"/>
          <c:order val="0"/>
          <c:tx>
            <c:strRef>
              <c:f>Sheet2!$K$70</c:f>
              <c:strCache>
                <c:ptCount val="1"/>
                <c:pt idx="0">
                  <c:v>Total</c:v>
                </c:pt>
              </c:strCache>
            </c:strRef>
          </c:tx>
          <c:cat>
            <c:strRef>
              <c:f>Sheet2!$J$71:$J$74</c:f>
              <c:strCache>
                <c:ptCount val="4"/>
                <c:pt idx="0">
                  <c:v>Cancelled</c:v>
                </c:pt>
                <c:pt idx="1">
                  <c:v>Delivered</c:v>
                </c:pt>
                <c:pt idx="2">
                  <c:v>Returned</c:v>
                </c:pt>
                <c:pt idx="3">
                  <c:v>Shipped</c:v>
                </c:pt>
              </c:strCache>
            </c:strRef>
          </c:cat>
          <c:val>
            <c:numRef>
              <c:f>Sheet2!$K$71:$K$74</c:f>
              <c:numCache>
                <c:formatCode>General</c:formatCode>
                <c:ptCount val="4"/>
                <c:pt idx="0">
                  <c:v>54</c:v>
                </c:pt>
                <c:pt idx="1">
                  <c:v>424</c:v>
                </c:pt>
                <c:pt idx="2">
                  <c:v>38</c:v>
                </c:pt>
                <c:pt idx="3">
                  <c:v>84</c:v>
                </c:pt>
              </c:numCache>
            </c:numRef>
          </c:val>
        </c:ser>
        <c:dLbls>
          <c:showLegendKey val="0"/>
          <c:showVal val="0"/>
          <c:showCatName val="0"/>
          <c:showSerName val="0"/>
          <c:showPercent val="0"/>
          <c:showBubbleSize val="0"/>
          <c:showLeaderLines val="1"/>
        </c:dLbls>
        <c:firstSliceAng val="0"/>
        <c:holeSize val="50"/>
      </c:doughnutChart>
    </c:plotArea>
    <c:legend>
      <c:legendPos val="b"/>
      <c:layout/>
      <c:overlay val="0"/>
    </c:legend>
    <c:plotVisOnly val="1"/>
    <c:dispBlanksAs val="zero"/>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IN"/>
  <c:roundedCorners val="0"/>
  <mc:AlternateContent xmlns:mc="http://schemas.openxmlformats.org/markup-compatibility/2006">
    <mc:Choice xmlns:c14="http://schemas.microsoft.com/office/drawing/2007/8/2/chart" Requires="c14">
      <c14:style val="102"/>
    </mc:Choice>
    <mc:Fallback>
      <c:style val="2"/>
    </mc:Fallback>
  </mc:AlternateContent>
  <c:pivotSource>
    <c:name>[flipkart_sales_data_600.xlsx]Sheet2!PivotTable4</c:name>
    <c:fmtId val="2"/>
  </c:pivotSource>
  <c:chart>
    <c:title>
      <c:tx>
        <c:rich>
          <a:bodyPr/>
          <a:lstStyle/>
          <a:p>
            <a:pPr>
              <a:defRPr/>
            </a:pPr>
            <a:r>
              <a:rPr lang="en-IN"/>
              <a:t>Payment</a:t>
            </a:r>
            <a:r>
              <a:rPr lang="en-IN" baseline="0"/>
              <a:t> Mathod</a:t>
            </a:r>
          </a:p>
        </c:rich>
      </c:tx>
      <c:layout>
        <c:manualLayout>
          <c:xMode val="edge"/>
          <c:yMode val="edge"/>
          <c:x val="0.62358333333333338"/>
          <c:y val="4.5275590551181105E-2"/>
        </c:manualLayout>
      </c:layout>
      <c:overlay val="1"/>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pivotFmt>
      <c:pivotFmt>
        <c:idx val="5"/>
        <c:marker>
          <c:symbol val="none"/>
        </c:marker>
      </c:pivotFmt>
      <c:pivotFmt>
        <c:idx val="6"/>
        <c:marker>
          <c:symbol val="none"/>
        </c:marker>
      </c:pivotFmt>
      <c:pivotFmt>
        <c:idx val="7"/>
        <c:marker>
          <c:symbol val="none"/>
        </c:marker>
      </c:pivotFmt>
      <c:pivotFmt>
        <c:idx val="8"/>
        <c:marker>
          <c:symbol val="none"/>
        </c:marker>
      </c:pivotFmt>
      <c:pivotFmt>
        <c:idx val="9"/>
        <c:marker>
          <c:symbol val="none"/>
        </c:marker>
      </c:pivotFmt>
      <c:pivotFmt>
        <c:idx val="10"/>
        <c:marker>
          <c:symbol val="none"/>
        </c:marker>
      </c:pivotFmt>
      <c:pivotFmt>
        <c:idx val="11"/>
        <c:marker>
          <c:symbol val="none"/>
        </c:marker>
      </c:pivotFmt>
      <c:pivotFmt>
        <c:idx val="12"/>
        <c:marker>
          <c:symbol val="none"/>
        </c:marker>
      </c:pivotFmt>
      <c:pivotFmt>
        <c:idx val="13"/>
        <c:marker>
          <c:symbol val="none"/>
        </c:marker>
      </c:pivotFmt>
      <c:pivotFmt>
        <c:idx val="14"/>
        <c:marker>
          <c:symbol val="none"/>
        </c:marker>
      </c:pivotFmt>
      <c:pivotFmt>
        <c:idx val="15"/>
        <c:marker>
          <c:symbol val="none"/>
        </c:marker>
      </c:pivotFmt>
      <c:pivotFmt>
        <c:idx val="16"/>
        <c:marker>
          <c:symbol val="none"/>
        </c:marker>
      </c:pivotFmt>
      <c:pivotFmt>
        <c:idx val="17"/>
        <c:marker>
          <c:symbol val="none"/>
        </c:marker>
      </c:pivotFmt>
      <c:pivotFmt>
        <c:idx val="18"/>
        <c:marker>
          <c:symbol val="none"/>
        </c:marker>
      </c:pivotFmt>
      <c:pivotFmt>
        <c:idx val="19"/>
        <c:marker>
          <c:symbol val="none"/>
        </c:marker>
      </c:pivotFmt>
      <c:pivotFmt>
        <c:idx val="20"/>
        <c:marker>
          <c:symbol val="none"/>
        </c:marker>
      </c:pivotFmt>
      <c:pivotFmt>
        <c:idx val="21"/>
        <c:marker>
          <c:symbol val="none"/>
        </c:marker>
      </c:pivotFmt>
      <c:pivotFmt>
        <c:idx val="22"/>
        <c:marker>
          <c:symbol val="none"/>
        </c:marker>
      </c:pivotFmt>
    </c:pivotFmts>
    <c:plotArea>
      <c:layout/>
      <c:barChart>
        <c:barDir val="col"/>
        <c:grouping val="clustered"/>
        <c:varyColors val="0"/>
        <c:ser>
          <c:idx val="0"/>
          <c:order val="0"/>
          <c:tx>
            <c:strRef>
              <c:f>Sheet2!$B$1:$B$2</c:f>
              <c:strCache>
                <c:ptCount val="1"/>
                <c:pt idx="0">
                  <c:v>COD</c:v>
                </c:pt>
              </c:strCache>
            </c:strRef>
          </c:tx>
          <c:invertIfNegative val="0"/>
          <c:cat>
            <c:strRef>
              <c:f>Sheet2!$A$3:$A$6</c:f>
              <c:strCache>
                <c:ptCount val="4"/>
                <c:pt idx="0">
                  <c:v>Cancelled</c:v>
                </c:pt>
                <c:pt idx="1">
                  <c:v>Delivered</c:v>
                </c:pt>
                <c:pt idx="2">
                  <c:v>Returned</c:v>
                </c:pt>
                <c:pt idx="3">
                  <c:v>Shipped</c:v>
                </c:pt>
              </c:strCache>
            </c:strRef>
          </c:cat>
          <c:val>
            <c:numRef>
              <c:f>Sheet2!$B$3:$B$6</c:f>
              <c:numCache>
                <c:formatCode>General</c:formatCode>
                <c:ptCount val="4"/>
                <c:pt idx="0">
                  <c:v>14</c:v>
                </c:pt>
                <c:pt idx="1">
                  <c:v>104</c:v>
                </c:pt>
                <c:pt idx="2">
                  <c:v>9</c:v>
                </c:pt>
                <c:pt idx="3">
                  <c:v>19</c:v>
                </c:pt>
              </c:numCache>
            </c:numRef>
          </c:val>
        </c:ser>
        <c:ser>
          <c:idx val="1"/>
          <c:order val="1"/>
          <c:tx>
            <c:strRef>
              <c:f>Sheet2!$C$1:$C$2</c:f>
              <c:strCache>
                <c:ptCount val="1"/>
                <c:pt idx="0">
                  <c:v>Credit Card</c:v>
                </c:pt>
              </c:strCache>
            </c:strRef>
          </c:tx>
          <c:invertIfNegative val="0"/>
          <c:cat>
            <c:strRef>
              <c:f>Sheet2!$A$3:$A$6</c:f>
              <c:strCache>
                <c:ptCount val="4"/>
                <c:pt idx="0">
                  <c:v>Cancelled</c:v>
                </c:pt>
                <c:pt idx="1">
                  <c:v>Delivered</c:v>
                </c:pt>
                <c:pt idx="2">
                  <c:v>Returned</c:v>
                </c:pt>
                <c:pt idx="3">
                  <c:v>Shipped</c:v>
                </c:pt>
              </c:strCache>
            </c:strRef>
          </c:cat>
          <c:val>
            <c:numRef>
              <c:f>Sheet2!$C$3:$C$6</c:f>
              <c:numCache>
                <c:formatCode>General</c:formatCode>
                <c:ptCount val="4"/>
                <c:pt idx="0">
                  <c:v>9</c:v>
                </c:pt>
                <c:pt idx="1">
                  <c:v>114</c:v>
                </c:pt>
                <c:pt idx="2">
                  <c:v>14</c:v>
                </c:pt>
                <c:pt idx="3">
                  <c:v>25</c:v>
                </c:pt>
              </c:numCache>
            </c:numRef>
          </c:val>
        </c:ser>
        <c:ser>
          <c:idx val="2"/>
          <c:order val="2"/>
          <c:tx>
            <c:strRef>
              <c:f>Sheet2!$D$1:$D$2</c:f>
              <c:strCache>
                <c:ptCount val="1"/>
                <c:pt idx="0">
                  <c:v>Debit Card</c:v>
                </c:pt>
              </c:strCache>
            </c:strRef>
          </c:tx>
          <c:invertIfNegative val="0"/>
          <c:cat>
            <c:strRef>
              <c:f>Sheet2!$A$3:$A$6</c:f>
              <c:strCache>
                <c:ptCount val="4"/>
                <c:pt idx="0">
                  <c:v>Cancelled</c:v>
                </c:pt>
                <c:pt idx="1">
                  <c:v>Delivered</c:v>
                </c:pt>
                <c:pt idx="2">
                  <c:v>Returned</c:v>
                </c:pt>
                <c:pt idx="3">
                  <c:v>Shipped</c:v>
                </c:pt>
              </c:strCache>
            </c:strRef>
          </c:cat>
          <c:val>
            <c:numRef>
              <c:f>Sheet2!$D$3:$D$6</c:f>
              <c:numCache>
                <c:formatCode>General</c:formatCode>
                <c:ptCount val="4"/>
                <c:pt idx="0">
                  <c:v>14</c:v>
                </c:pt>
                <c:pt idx="1">
                  <c:v>76</c:v>
                </c:pt>
                <c:pt idx="2">
                  <c:v>5</c:v>
                </c:pt>
                <c:pt idx="3">
                  <c:v>16</c:v>
                </c:pt>
              </c:numCache>
            </c:numRef>
          </c:val>
        </c:ser>
        <c:ser>
          <c:idx val="3"/>
          <c:order val="3"/>
          <c:tx>
            <c:strRef>
              <c:f>Sheet2!$E$1:$E$2</c:f>
              <c:strCache>
                <c:ptCount val="1"/>
                <c:pt idx="0">
                  <c:v>Net Banking</c:v>
                </c:pt>
              </c:strCache>
            </c:strRef>
          </c:tx>
          <c:invertIfNegative val="0"/>
          <c:cat>
            <c:strRef>
              <c:f>Sheet2!$A$3:$A$6</c:f>
              <c:strCache>
                <c:ptCount val="4"/>
                <c:pt idx="0">
                  <c:v>Cancelled</c:v>
                </c:pt>
                <c:pt idx="1">
                  <c:v>Delivered</c:v>
                </c:pt>
                <c:pt idx="2">
                  <c:v>Returned</c:v>
                </c:pt>
                <c:pt idx="3">
                  <c:v>Shipped</c:v>
                </c:pt>
              </c:strCache>
            </c:strRef>
          </c:cat>
          <c:val>
            <c:numRef>
              <c:f>Sheet2!$E$3:$E$6</c:f>
              <c:numCache>
                <c:formatCode>General</c:formatCode>
                <c:ptCount val="4"/>
                <c:pt idx="0">
                  <c:v>8</c:v>
                </c:pt>
                <c:pt idx="1">
                  <c:v>65</c:v>
                </c:pt>
                <c:pt idx="2">
                  <c:v>4</c:v>
                </c:pt>
                <c:pt idx="3">
                  <c:v>7</c:v>
                </c:pt>
              </c:numCache>
            </c:numRef>
          </c:val>
        </c:ser>
        <c:ser>
          <c:idx val="4"/>
          <c:order val="4"/>
          <c:tx>
            <c:strRef>
              <c:f>Sheet2!$F$1:$F$2</c:f>
              <c:strCache>
                <c:ptCount val="1"/>
                <c:pt idx="0">
                  <c:v>UPI</c:v>
                </c:pt>
              </c:strCache>
            </c:strRef>
          </c:tx>
          <c:invertIfNegative val="0"/>
          <c:cat>
            <c:strRef>
              <c:f>Sheet2!$A$3:$A$6</c:f>
              <c:strCache>
                <c:ptCount val="4"/>
                <c:pt idx="0">
                  <c:v>Cancelled</c:v>
                </c:pt>
                <c:pt idx="1">
                  <c:v>Delivered</c:v>
                </c:pt>
                <c:pt idx="2">
                  <c:v>Returned</c:v>
                </c:pt>
                <c:pt idx="3">
                  <c:v>Shipped</c:v>
                </c:pt>
              </c:strCache>
            </c:strRef>
          </c:cat>
          <c:val>
            <c:numRef>
              <c:f>Sheet2!$F$3:$F$6</c:f>
              <c:numCache>
                <c:formatCode>General</c:formatCode>
                <c:ptCount val="4"/>
                <c:pt idx="0">
                  <c:v>21</c:v>
                </c:pt>
                <c:pt idx="1">
                  <c:v>178</c:v>
                </c:pt>
                <c:pt idx="2">
                  <c:v>18</c:v>
                </c:pt>
                <c:pt idx="3">
                  <c:v>49</c:v>
                </c:pt>
              </c:numCache>
            </c:numRef>
          </c:val>
        </c:ser>
        <c:dLbls>
          <c:showLegendKey val="0"/>
          <c:showVal val="0"/>
          <c:showCatName val="0"/>
          <c:showSerName val="0"/>
          <c:showPercent val="0"/>
          <c:showBubbleSize val="0"/>
        </c:dLbls>
        <c:gapWidth val="150"/>
        <c:axId val="231357440"/>
        <c:axId val="231359232"/>
      </c:barChart>
      <c:catAx>
        <c:axId val="231357440"/>
        <c:scaling>
          <c:orientation val="minMax"/>
        </c:scaling>
        <c:delete val="0"/>
        <c:axPos val="b"/>
        <c:majorTickMark val="out"/>
        <c:minorTickMark val="none"/>
        <c:tickLblPos val="nextTo"/>
        <c:crossAx val="231359232"/>
        <c:crosses val="autoZero"/>
        <c:auto val="1"/>
        <c:lblAlgn val="ctr"/>
        <c:lblOffset val="100"/>
        <c:noMultiLvlLbl val="0"/>
      </c:catAx>
      <c:valAx>
        <c:axId val="231359232"/>
        <c:scaling>
          <c:orientation val="minMax"/>
        </c:scaling>
        <c:delete val="0"/>
        <c:axPos val="l"/>
        <c:majorGridlines/>
        <c:numFmt formatCode="General" sourceLinked="1"/>
        <c:majorTickMark val="out"/>
        <c:minorTickMark val="none"/>
        <c:tickLblPos val="nextTo"/>
        <c:crossAx val="231357440"/>
        <c:crosses val="autoZero"/>
        <c:crossBetween val="between"/>
      </c:valAx>
    </c:plotArea>
    <c:legend>
      <c:legendPos val="r"/>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38</xdr:row>
      <xdr:rowOff>156882</xdr:rowOff>
    </xdr:from>
    <xdr:to>
      <xdr:col>6</xdr:col>
      <xdr:colOff>39223</xdr:colOff>
      <xdr:row>54</xdr:row>
      <xdr:rowOff>150160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48</xdr:row>
      <xdr:rowOff>0</xdr:rowOff>
    </xdr:from>
    <xdr:to>
      <xdr:col>14</xdr:col>
      <xdr:colOff>336177</xdr:colOff>
      <xdr:row>62</xdr:row>
      <xdr:rowOff>76200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70</xdr:row>
      <xdr:rowOff>0</xdr:rowOff>
    </xdr:from>
    <xdr:to>
      <xdr:col>6</xdr:col>
      <xdr:colOff>828675</xdr:colOff>
      <xdr:row>84</xdr:row>
      <xdr:rowOff>76200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260902</xdr:colOff>
      <xdr:row>3</xdr:row>
      <xdr:rowOff>127552</xdr:rowOff>
    </xdr:from>
    <xdr:to>
      <xdr:col>8</xdr:col>
      <xdr:colOff>476250</xdr:colOff>
      <xdr:row>18</xdr:row>
      <xdr:rowOff>13252</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434362</xdr:colOff>
      <xdr:row>1</xdr:row>
      <xdr:rowOff>19050</xdr:rowOff>
    </xdr:from>
    <xdr:to>
      <xdr:col>10</xdr:col>
      <xdr:colOff>85725</xdr:colOff>
      <xdr:row>12</xdr:row>
      <xdr:rowOff>47625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142875</xdr:colOff>
      <xdr:row>1</xdr:row>
      <xdr:rowOff>57150</xdr:rowOff>
    </xdr:from>
    <xdr:to>
      <xdr:col>17</xdr:col>
      <xdr:colOff>352424</xdr:colOff>
      <xdr:row>12</xdr:row>
      <xdr:rowOff>76200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438150</xdr:colOff>
      <xdr:row>12</xdr:row>
      <xdr:rowOff>104775</xdr:rowOff>
    </xdr:from>
    <xdr:to>
      <xdr:col>10</xdr:col>
      <xdr:colOff>104775</xdr:colOff>
      <xdr:row>22</xdr:row>
      <xdr:rowOff>142876</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180976</xdr:colOff>
      <xdr:row>12</xdr:row>
      <xdr:rowOff>104775</xdr:rowOff>
    </xdr:from>
    <xdr:to>
      <xdr:col>17</xdr:col>
      <xdr:colOff>390526</xdr:colOff>
      <xdr:row>23</xdr:row>
      <xdr:rowOff>19050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150720</xdr:colOff>
      <xdr:row>15</xdr:row>
      <xdr:rowOff>52669</xdr:rowOff>
    </xdr:from>
    <xdr:to>
      <xdr:col>3</xdr:col>
      <xdr:colOff>150720</xdr:colOff>
      <xdr:row>21</xdr:row>
      <xdr:rowOff>188820</xdr:rowOff>
    </xdr:to>
    <mc:AlternateContent xmlns:mc="http://schemas.openxmlformats.org/markup-compatibility/2006" xmlns:a14="http://schemas.microsoft.com/office/drawing/2010/main">
      <mc:Choice Requires="a14">
        <xdr:graphicFrame macro="">
          <xdr:nvGraphicFramePr>
            <xdr:cNvPr id="6" name="Zone"/>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150720" y="3081619"/>
              <a:ext cx="1828800" cy="1279151"/>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188819</xdr:colOff>
      <xdr:row>7</xdr:row>
      <xdr:rowOff>38661</xdr:rowOff>
    </xdr:from>
    <xdr:to>
      <xdr:col>3</xdr:col>
      <xdr:colOff>160244</xdr:colOff>
      <xdr:row>14</xdr:row>
      <xdr:rowOff>102535</xdr:rowOff>
    </xdr:to>
    <mc:AlternateContent xmlns:mc="http://schemas.openxmlformats.org/markup-compatibility/2006" xmlns:a14="http://schemas.microsoft.com/office/drawing/2010/main">
      <mc:Choice Requires="a14">
        <xdr:graphicFrame macro="">
          <xdr:nvGraphicFramePr>
            <xdr:cNvPr id="7"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88819" y="1543611"/>
              <a:ext cx="1800225" cy="1397374"/>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178734</xdr:colOff>
      <xdr:row>1</xdr:row>
      <xdr:rowOff>63874</xdr:rowOff>
    </xdr:from>
    <xdr:to>
      <xdr:col>3</xdr:col>
      <xdr:colOff>192181</xdr:colOff>
      <xdr:row>6</xdr:row>
      <xdr:rowOff>124386</xdr:rowOff>
    </xdr:to>
    <mc:AlternateContent xmlns:mc="http://schemas.openxmlformats.org/markup-compatibility/2006" xmlns:a14="http://schemas.microsoft.com/office/drawing/2010/main">
      <mc:Choice Requires="a14">
        <xdr:graphicFrame macro="">
          <xdr:nvGraphicFramePr>
            <xdr:cNvPr id="10" name="Month"/>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78734" y="425824"/>
              <a:ext cx="1842247" cy="1013012"/>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290.531166550929" createdVersion="4" refreshedVersion="4" minRefreshableVersion="3" recordCount="600">
  <cacheSource type="worksheet">
    <worksheetSource ref="A1:M601" sheet="Flipkart_Data"/>
  </cacheSource>
  <cacheFields count="13">
    <cacheField name="Order ID" numFmtId="0">
      <sharedItems/>
    </cacheField>
    <cacheField name="Date" numFmtId="164">
      <sharedItems containsSemiMixedTypes="0" containsNonDate="0" containsDate="1" containsString="0" minDate="2026-10-01T00:00:00" maxDate="2027-01-01T00:00:00"/>
    </cacheField>
    <cacheField name="Month" numFmtId="164">
      <sharedItems count="3">
        <s v="Oct"/>
        <s v="Nov"/>
        <s v="Dec"/>
      </sharedItems>
    </cacheField>
    <cacheField name="Zone" numFmtId="0">
      <sharedItems count="4">
        <s v="North"/>
        <s v="West"/>
        <s v="East"/>
        <s v="South"/>
      </sharedItems>
    </cacheField>
    <cacheField name="Customer ID" numFmtId="0">
      <sharedItems/>
    </cacheField>
    <cacheField name="Product Name" numFmtId="0">
      <sharedItems/>
    </cacheField>
    <cacheField name="Category" numFmtId="0">
      <sharedItems count="5">
        <s v="Electronics"/>
        <s v="Furniture"/>
        <s v="Home Decor"/>
        <s v="Fashion"/>
        <s v="Appliances"/>
      </sharedItems>
    </cacheField>
    <cacheField name="Qty" numFmtId="0">
      <sharedItems containsSemiMixedTypes="0" containsString="0" containsNumber="1" containsInteger="1" minValue="1" maxValue="3"/>
    </cacheField>
    <cacheField name="Price" numFmtId="3">
      <sharedItems containsSemiMixedTypes="0" containsString="0" containsNumber="1" containsInteger="1" minValue="1500" maxValue="65000"/>
    </cacheField>
    <cacheField name="Payment Method" numFmtId="0">
      <sharedItems count="5">
        <s v="Credit Card"/>
        <s v="UPI"/>
        <s v="Net Banking"/>
        <s v="COD"/>
        <s v="Debit Card"/>
      </sharedItems>
    </cacheField>
    <cacheField name="Order Status" numFmtId="0">
      <sharedItems count="4">
        <s v="Delivered"/>
        <s v="Shipped"/>
        <s v="Cancelled"/>
        <s v="Returned"/>
      </sharedItems>
    </cacheField>
    <cacheField name="Total Amount" numFmtId="3">
      <sharedItems containsSemiMixedTypes="0" containsString="0" containsNumber="1" containsInteger="1" minValue="1500" maxValue="130000"/>
    </cacheField>
    <cacheField name="Revenu Stats"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600">
  <r>
    <s v="FLP501"/>
    <d v="2026-10-01T00:00:00"/>
    <x v="0"/>
    <x v="0"/>
    <s v="CUST-901"/>
    <s v="Apple iPhone 15"/>
    <x v="0"/>
    <n v="1"/>
    <n v="65000"/>
    <x v="0"/>
    <x v="0"/>
    <n v="65000"/>
    <s v="Counted"/>
  </r>
  <r>
    <s v="FLP502"/>
    <d v="2026-10-01T00:00:00"/>
    <x v="0"/>
    <x v="1"/>
    <s v="CUST-902"/>
    <s v="Samsung Galaxy S24"/>
    <x v="0"/>
    <n v="1"/>
    <n v="62000"/>
    <x v="1"/>
    <x v="0"/>
    <n v="62000"/>
    <s v="Counted"/>
  </r>
  <r>
    <s v="FLP503"/>
    <d v="2026-10-02T00:00:00"/>
    <x v="0"/>
    <x v="2"/>
    <s v="CUST-903"/>
    <s v="Mi Smart TV 43"/>
    <x v="0"/>
    <n v="1"/>
    <n v="24000"/>
    <x v="2"/>
    <x v="1"/>
    <n v="24000"/>
    <s v="Counted"/>
  </r>
  <r>
    <s v="FLP504"/>
    <d v="2026-10-02T00:00:00"/>
    <x v="0"/>
    <x v="3"/>
    <s v="CUST-904"/>
    <s v="HP Pavilion Laptop"/>
    <x v="0"/>
    <n v="1"/>
    <n v="52000"/>
    <x v="0"/>
    <x v="0"/>
    <n v="52000"/>
    <s v="Counted"/>
  </r>
  <r>
    <s v="FLP505"/>
    <d v="2026-10-03T00:00:00"/>
    <x v="0"/>
    <x v="0"/>
    <s v="CUST-905"/>
    <s v="Ergonomic Office Chair"/>
    <x v="1"/>
    <n v="2"/>
    <n v="12000"/>
    <x v="3"/>
    <x v="0"/>
    <n v="24000"/>
    <s v="Counted"/>
  </r>
  <r>
    <s v="FLP506"/>
    <d v="2026-10-03T00:00:00"/>
    <x v="0"/>
    <x v="1"/>
    <s v="CUST-906"/>
    <s v="King Size Bed Sheet"/>
    <x v="2"/>
    <n v="3"/>
    <n v="2400"/>
    <x v="1"/>
    <x v="2"/>
    <n v="7200"/>
    <s v="Not Counted"/>
  </r>
  <r>
    <s v="FLP507"/>
    <d v="2026-10-04T00:00:00"/>
    <x v="0"/>
    <x v="2"/>
    <s v="CUST-907"/>
    <s v="Puma Running Shoes"/>
    <x v="3"/>
    <n v="1"/>
    <n v="3500"/>
    <x v="1"/>
    <x v="0"/>
    <n v="3500"/>
    <s v="Counted"/>
  </r>
  <r>
    <s v="FLP508"/>
    <d v="2026-10-04T00:00:00"/>
    <x v="0"/>
    <x v="3"/>
    <s v="CUST-908"/>
    <s v="Adidas Sports Jacket"/>
    <x v="3"/>
    <n v="2"/>
    <n v="5000"/>
    <x v="3"/>
    <x v="1"/>
    <n v="10000"/>
    <s v="Counted"/>
  </r>
  <r>
    <s v="FLP509"/>
    <d v="2026-10-05T00:00:00"/>
    <x v="0"/>
    <x v="0"/>
    <s v="CUST-909"/>
    <s v="Philips Air Fryer"/>
    <x v="4"/>
    <n v="1"/>
    <n v="8500"/>
    <x v="0"/>
    <x v="0"/>
    <n v="8500"/>
    <s v="Counted"/>
  </r>
  <r>
    <s v="FLP510"/>
    <d v="2026-10-05T00:00:00"/>
    <x v="0"/>
    <x v="0"/>
    <s v="CUST-1100"/>
    <s v="Fossil Watch"/>
    <x v="3"/>
    <n v="1"/>
    <n v="7500"/>
    <x v="0"/>
    <x v="0"/>
    <n v="7500"/>
    <s v="Counted"/>
  </r>
  <r>
    <s v="FLP511"/>
    <d v="2026-10-05T00:00:00"/>
    <x v="0"/>
    <x v="0"/>
    <s v="CUST-1043"/>
    <s v="Prestige Mixer Grinder"/>
    <x v="4"/>
    <n v="1"/>
    <n v="3800"/>
    <x v="1"/>
    <x v="2"/>
    <n v="3800"/>
    <s v="Not Counted"/>
  </r>
  <r>
    <s v="FLP512"/>
    <d v="2026-10-05T00:00:00"/>
    <x v="0"/>
    <x v="1"/>
    <s v="CUST-1071"/>
    <s v="Curtain Set"/>
    <x v="2"/>
    <n v="1"/>
    <n v="2200"/>
    <x v="0"/>
    <x v="0"/>
    <n v="2200"/>
    <s v="Counted"/>
  </r>
  <r>
    <s v="FLP513"/>
    <d v="2026-10-05T00:00:00"/>
    <x v="0"/>
    <x v="1"/>
    <s v="CUST-1057"/>
    <s v="3-Seater Sofa"/>
    <x v="1"/>
    <n v="2"/>
    <n v="28000"/>
    <x v="2"/>
    <x v="2"/>
    <n v="56000"/>
    <s v="Not Counted"/>
  </r>
  <r>
    <s v="FLP514"/>
    <d v="2026-10-05T00:00:00"/>
    <x v="0"/>
    <x v="1"/>
    <s v="CUST-941"/>
    <s v="Wall Clock"/>
    <x v="2"/>
    <n v="2"/>
    <n v="1500"/>
    <x v="2"/>
    <x v="0"/>
    <n v="3000"/>
    <s v="Counted"/>
  </r>
  <r>
    <s v="FLP515"/>
    <d v="2026-10-05T00:00:00"/>
    <x v="0"/>
    <x v="2"/>
    <s v="CUST-1097"/>
    <s v="Ergonomic Office Chair"/>
    <x v="1"/>
    <n v="1"/>
    <n v="12000"/>
    <x v="2"/>
    <x v="0"/>
    <n v="12000"/>
    <s v="Counted"/>
  </r>
  <r>
    <s v="FLP516"/>
    <d v="2026-10-05T00:00:00"/>
    <x v="0"/>
    <x v="0"/>
    <s v="CUST-1083"/>
    <s v="Lenovo Tablet"/>
    <x v="0"/>
    <n v="1"/>
    <n v="18000"/>
    <x v="1"/>
    <x v="0"/>
    <n v="18000"/>
    <s v="Counted"/>
  </r>
  <r>
    <s v="FLP517"/>
    <d v="2026-10-05T00:00:00"/>
    <x v="0"/>
    <x v="0"/>
    <s v="CUST-936"/>
    <s v="3-Seater Sofa"/>
    <x v="1"/>
    <n v="2"/>
    <n v="28000"/>
    <x v="1"/>
    <x v="0"/>
    <n v="56000"/>
    <s v="Counted"/>
  </r>
  <r>
    <s v="FLP518"/>
    <d v="2026-10-06T00:00:00"/>
    <x v="0"/>
    <x v="0"/>
    <s v="CUST-1007"/>
    <s v="HP Pavilion Laptop"/>
    <x v="0"/>
    <n v="1"/>
    <n v="52000"/>
    <x v="0"/>
    <x v="0"/>
    <n v="52000"/>
    <s v="Counted"/>
  </r>
  <r>
    <s v="FLP519"/>
    <d v="2026-10-06T00:00:00"/>
    <x v="0"/>
    <x v="1"/>
    <s v="CUST-1000"/>
    <s v="Wall Clock"/>
    <x v="2"/>
    <n v="1"/>
    <n v="1500"/>
    <x v="3"/>
    <x v="0"/>
    <n v="1500"/>
    <s v="Counted"/>
  </r>
  <r>
    <s v="FLP520"/>
    <d v="2026-10-06T00:00:00"/>
    <x v="0"/>
    <x v="1"/>
    <s v="CUST-1023"/>
    <s v="Prestige Mixer Grinder"/>
    <x v="4"/>
    <n v="1"/>
    <n v="3800"/>
    <x v="1"/>
    <x v="0"/>
    <n v="3800"/>
    <s v="Counted"/>
  </r>
  <r>
    <s v="FLP521"/>
    <d v="2026-10-06T00:00:00"/>
    <x v="0"/>
    <x v="1"/>
    <s v="CUST-1038"/>
    <s v="Dyson Vacuum Cleaner"/>
    <x v="4"/>
    <n v="1"/>
    <n v="22000"/>
    <x v="2"/>
    <x v="0"/>
    <n v="22000"/>
    <s v="Counted"/>
  </r>
  <r>
    <s v="FLP522"/>
    <d v="2026-10-06T00:00:00"/>
    <x v="0"/>
    <x v="1"/>
    <s v="CUST-957"/>
    <s v="Nike T-Shirt"/>
    <x v="3"/>
    <n v="2"/>
    <n v="1600"/>
    <x v="1"/>
    <x v="0"/>
    <n v="3200"/>
    <s v="Counted"/>
  </r>
  <r>
    <s v="FLP523"/>
    <d v="2026-10-07T00:00:00"/>
    <x v="0"/>
    <x v="1"/>
    <s v="CUST-1086"/>
    <s v="King Size Bed Sheet"/>
    <x v="2"/>
    <n v="1"/>
    <n v="2400"/>
    <x v="1"/>
    <x v="0"/>
    <n v="2400"/>
    <s v="Counted"/>
  </r>
  <r>
    <s v="FLP524"/>
    <d v="2026-10-07T00:00:00"/>
    <x v="0"/>
    <x v="0"/>
    <s v="CUST-1001"/>
    <s v="HP Pavilion Laptop"/>
    <x v="0"/>
    <n v="2"/>
    <n v="52000"/>
    <x v="4"/>
    <x v="0"/>
    <n v="104000"/>
    <s v="Counted"/>
  </r>
  <r>
    <s v="FLP525"/>
    <d v="2026-10-08T00:00:00"/>
    <x v="0"/>
    <x v="3"/>
    <s v="CUST-1019"/>
    <s v="OnePlus 12"/>
    <x v="0"/>
    <n v="1"/>
    <n v="58000"/>
    <x v="1"/>
    <x v="0"/>
    <n v="58000"/>
    <s v="Counted"/>
  </r>
  <r>
    <s v="FLP526"/>
    <d v="2026-10-08T00:00:00"/>
    <x v="0"/>
    <x v="2"/>
    <s v="CUST-987"/>
    <s v="3-Seater Sofa"/>
    <x v="1"/>
    <n v="1"/>
    <n v="28000"/>
    <x v="2"/>
    <x v="0"/>
    <n v="28000"/>
    <s v="Counted"/>
  </r>
  <r>
    <s v="FLP527"/>
    <d v="2026-10-08T00:00:00"/>
    <x v="0"/>
    <x v="1"/>
    <s v="CUST-965"/>
    <s v="Dyson Vacuum Cleaner"/>
    <x v="4"/>
    <n v="2"/>
    <n v="22000"/>
    <x v="3"/>
    <x v="0"/>
    <n v="44000"/>
    <s v="Counted"/>
  </r>
  <r>
    <s v="FLP528"/>
    <d v="2026-10-08T00:00:00"/>
    <x v="0"/>
    <x v="2"/>
    <s v="CUST-958"/>
    <s v="LG Microwave Oven"/>
    <x v="4"/>
    <n v="1"/>
    <n v="12500"/>
    <x v="4"/>
    <x v="1"/>
    <n v="12500"/>
    <s v="Counted"/>
  </r>
  <r>
    <s v="FLP529"/>
    <d v="2026-10-08T00:00:00"/>
    <x v="0"/>
    <x v="0"/>
    <s v="CUST-964"/>
    <s v="Fossil Watch"/>
    <x v="3"/>
    <n v="1"/>
    <n v="7500"/>
    <x v="1"/>
    <x v="0"/>
    <n v="7500"/>
    <s v="Counted"/>
  </r>
  <r>
    <s v="FLP530"/>
    <d v="2026-10-08T00:00:00"/>
    <x v="0"/>
    <x v="1"/>
    <s v="CUST-1072"/>
    <s v="HP Pavilion Laptop"/>
    <x v="0"/>
    <n v="1"/>
    <n v="52000"/>
    <x v="1"/>
    <x v="3"/>
    <n v="52000"/>
    <s v="Not Counted"/>
  </r>
  <r>
    <s v="FLP531"/>
    <d v="2026-10-08T00:00:00"/>
    <x v="0"/>
    <x v="2"/>
    <s v="CUST-943"/>
    <s v="Curtain Set"/>
    <x v="2"/>
    <n v="1"/>
    <n v="2200"/>
    <x v="4"/>
    <x v="3"/>
    <n v="2200"/>
    <s v="Not Counted"/>
  </r>
  <r>
    <s v="FLP532"/>
    <d v="2026-10-09T00:00:00"/>
    <x v="0"/>
    <x v="3"/>
    <s v="CUST-980"/>
    <s v="Prestige Mixer Grinder"/>
    <x v="4"/>
    <n v="1"/>
    <n v="3800"/>
    <x v="1"/>
    <x v="0"/>
    <n v="3800"/>
    <s v="Counted"/>
  </r>
  <r>
    <s v="FLP533"/>
    <d v="2026-10-09T00:00:00"/>
    <x v="0"/>
    <x v="1"/>
    <s v="CUST-1002"/>
    <s v="Wooden Study Table"/>
    <x v="1"/>
    <n v="1"/>
    <n v="9500"/>
    <x v="3"/>
    <x v="0"/>
    <n v="9500"/>
    <s v="Counted"/>
  </r>
  <r>
    <s v="FLP534"/>
    <d v="2026-10-09T00:00:00"/>
    <x v="0"/>
    <x v="3"/>
    <s v="CUST-927"/>
    <s v="Levis Jeans"/>
    <x v="3"/>
    <n v="1"/>
    <n v="2800"/>
    <x v="4"/>
    <x v="0"/>
    <n v="2800"/>
    <s v="Counted"/>
  </r>
  <r>
    <s v="FLP535"/>
    <d v="2026-10-09T00:00:00"/>
    <x v="0"/>
    <x v="0"/>
    <s v="CUST-1045"/>
    <s v="Philips Air Fryer"/>
    <x v="4"/>
    <n v="1"/>
    <n v="8500"/>
    <x v="2"/>
    <x v="0"/>
    <n v="8500"/>
    <s v="Counted"/>
  </r>
  <r>
    <s v="FLP536"/>
    <d v="2026-10-09T00:00:00"/>
    <x v="0"/>
    <x v="0"/>
    <s v="CUST-1030"/>
    <s v="Wall Clock"/>
    <x v="2"/>
    <n v="1"/>
    <n v="1500"/>
    <x v="4"/>
    <x v="0"/>
    <n v="1500"/>
    <s v="Counted"/>
  </r>
  <r>
    <s v="FLP537"/>
    <d v="2026-10-09T00:00:00"/>
    <x v="0"/>
    <x v="0"/>
    <s v="CUST-1011"/>
    <s v="Wall Clock"/>
    <x v="2"/>
    <n v="2"/>
    <n v="1500"/>
    <x v="3"/>
    <x v="0"/>
    <n v="3000"/>
    <s v="Counted"/>
  </r>
  <r>
    <s v="FLP538"/>
    <d v="2026-10-10T00:00:00"/>
    <x v="0"/>
    <x v="1"/>
    <s v="CUST-946"/>
    <s v="Curtain Set"/>
    <x v="2"/>
    <n v="2"/>
    <n v="2200"/>
    <x v="2"/>
    <x v="3"/>
    <n v="4400"/>
    <s v="Not Counted"/>
  </r>
  <r>
    <s v="FLP539"/>
    <d v="2026-10-10T00:00:00"/>
    <x v="0"/>
    <x v="1"/>
    <s v="CUST-1020"/>
    <s v="Ergonomic Office Chair"/>
    <x v="1"/>
    <n v="1"/>
    <n v="12000"/>
    <x v="0"/>
    <x v="1"/>
    <n v="12000"/>
    <s v="Counted"/>
  </r>
  <r>
    <s v="FLP540"/>
    <d v="2026-10-10T00:00:00"/>
    <x v="0"/>
    <x v="3"/>
    <s v="CUST-923"/>
    <s v="Ergonomic Office Chair"/>
    <x v="1"/>
    <n v="1"/>
    <n v="12000"/>
    <x v="1"/>
    <x v="0"/>
    <n v="12000"/>
    <s v="Counted"/>
  </r>
  <r>
    <s v="FLP541"/>
    <d v="2026-10-10T00:00:00"/>
    <x v="0"/>
    <x v="1"/>
    <s v="CUST-987"/>
    <s v="Dyson Vacuum Cleaner"/>
    <x v="4"/>
    <n v="1"/>
    <n v="22000"/>
    <x v="1"/>
    <x v="2"/>
    <n v="22000"/>
    <s v="Not Counted"/>
  </r>
  <r>
    <s v="FLP542"/>
    <d v="2026-10-10T00:00:00"/>
    <x v="0"/>
    <x v="2"/>
    <s v="CUST-967"/>
    <s v="Boat Airdopes"/>
    <x v="0"/>
    <n v="1"/>
    <n v="1800"/>
    <x v="1"/>
    <x v="2"/>
    <n v="1800"/>
    <s v="Not Counted"/>
  </r>
  <r>
    <s v="FLP543"/>
    <d v="2026-10-10T00:00:00"/>
    <x v="0"/>
    <x v="0"/>
    <s v="CUST-1033"/>
    <s v="Prestige Mixer Grinder"/>
    <x v="4"/>
    <n v="2"/>
    <n v="3800"/>
    <x v="3"/>
    <x v="0"/>
    <n v="7600"/>
    <s v="Counted"/>
  </r>
  <r>
    <s v="FLP544"/>
    <d v="2026-10-10T00:00:00"/>
    <x v="0"/>
    <x v="3"/>
    <s v="CUST-1077"/>
    <s v="LG Microwave Oven"/>
    <x v="4"/>
    <n v="1"/>
    <n v="12500"/>
    <x v="0"/>
    <x v="1"/>
    <n v="12500"/>
    <s v="Counted"/>
  </r>
  <r>
    <s v="FLP545"/>
    <d v="2026-10-10T00:00:00"/>
    <x v="0"/>
    <x v="0"/>
    <s v="CUST-976"/>
    <s v="Curtain Set"/>
    <x v="2"/>
    <n v="2"/>
    <n v="2200"/>
    <x v="1"/>
    <x v="1"/>
    <n v="4400"/>
    <s v="Counted"/>
  </r>
  <r>
    <s v="FLP546"/>
    <d v="2026-10-11T00:00:00"/>
    <x v="0"/>
    <x v="2"/>
    <s v="CUST-1022"/>
    <s v="Wooden Study Table"/>
    <x v="1"/>
    <n v="1"/>
    <n v="9500"/>
    <x v="0"/>
    <x v="0"/>
    <n v="9500"/>
    <s v="Counted"/>
  </r>
  <r>
    <s v="FLP547"/>
    <d v="2026-10-11T00:00:00"/>
    <x v="0"/>
    <x v="2"/>
    <s v="CUST-1080"/>
    <s v="LG Microwave Oven"/>
    <x v="4"/>
    <n v="1"/>
    <n v="12500"/>
    <x v="0"/>
    <x v="0"/>
    <n v="12500"/>
    <s v="Counted"/>
  </r>
  <r>
    <s v="FLP548"/>
    <d v="2026-10-11T00:00:00"/>
    <x v="0"/>
    <x v="3"/>
    <s v="CUST-981"/>
    <s v="Lenovo Tablet"/>
    <x v="0"/>
    <n v="1"/>
    <n v="18000"/>
    <x v="1"/>
    <x v="0"/>
    <n v="18000"/>
    <s v="Counted"/>
  </r>
  <r>
    <s v="FLP549"/>
    <d v="2026-10-11T00:00:00"/>
    <x v="0"/>
    <x v="3"/>
    <s v="CUST-956"/>
    <s v="Dyson Vacuum Cleaner"/>
    <x v="4"/>
    <n v="1"/>
    <n v="22000"/>
    <x v="2"/>
    <x v="0"/>
    <n v="22000"/>
    <s v="Counted"/>
  </r>
  <r>
    <s v="FLP550"/>
    <d v="2026-10-11T00:00:00"/>
    <x v="0"/>
    <x v="2"/>
    <s v="CUST-926"/>
    <s v="Levis Jeans"/>
    <x v="3"/>
    <n v="3"/>
    <n v="2800"/>
    <x v="3"/>
    <x v="0"/>
    <n v="8400"/>
    <s v="Counted"/>
  </r>
  <r>
    <s v="FLP551"/>
    <d v="2026-10-12T00:00:00"/>
    <x v="0"/>
    <x v="0"/>
    <s v="CUST-1082"/>
    <s v="Bookshelf Rack"/>
    <x v="1"/>
    <n v="1"/>
    <n v="6500"/>
    <x v="0"/>
    <x v="0"/>
    <n v="6500"/>
    <s v="Counted"/>
  </r>
  <r>
    <s v="FLP552"/>
    <d v="2026-10-12T00:00:00"/>
    <x v="0"/>
    <x v="3"/>
    <s v="CUST-1064"/>
    <s v="Samsung Galaxy S24"/>
    <x v="0"/>
    <n v="1"/>
    <n v="62000"/>
    <x v="3"/>
    <x v="0"/>
    <n v="62000"/>
    <s v="Counted"/>
  </r>
  <r>
    <s v="FLP553"/>
    <d v="2026-10-12T00:00:00"/>
    <x v="0"/>
    <x v="1"/>
    <s v="CUST-1023"/>
    <s v="Apple iPhone 15"/>
    <x v="0"/>
    <n v="1"/>
    <n v="65000"/>
    <x v="0"/>
    <x v="0"/>
    <n v="65000"/>
    <s v="Counted"/>
  </r>
  <r>
    <s v="FLP554"/>
    <d v="2026-10-12T00:00:00"/>
    <x v="0"/>
    <x v="1"/>
    <s v="CUST-930"/>
    <s v="Samsung Galaxy S24"/>
    <x v="0"/>
    <n v="1"/>
    <n v="62000"/>
    <x v="3"/>
    <x v="0"/>
    <n v="62000"/>
    <s v="Counted"/>
  </r>
  <r>
    <s v="FLP555"/>
    <d v="2026-10-12T00:00:00"/>
    <x v="0"/>
    <x v="0"/>
    <s v="CUST-939"/>
    <s v="OnePlus 12"/>
    <x v="0"/>
    <n v="1"/>
    <n v="58000"/>
    <x v="1"/>
    <x v="0"/>
    <n v="58000"/>
    <s v="Counted"/>
  </r>
  <r>
    <s v="FLP556"/>
    <d v="2026-10-12T00:00:00"/>
    <x v="0"/>
    <x v="3"/>
    <s v="CUST-931"/>
    <s v="Wooden Study Table"/>
    <x v="1"/>
    <n v="1"/>
    <n v="9500"/>
    <x v="0"/>
    <x v="0"/>
    <n v="9500"/>
    <s v="Counted"/>
  </r>
  <r>
    <s v="FLP557"/>
    <d v="2026-10-12T00:00:00"/>
    <x v="0"/>
    <x v="3"/>
    <s v="CUST-1099"/>
    <s v="Nike T-Shirt"/>
    <x v="3"/>
    <n v="2"/>
    <n v="1600"/>
    <x v="0"/>
    <x v="0"/>
    <n v="3200"/>
    <s v="Counted"/>
  </r>
  <r>
    <s v="FLP558"/>
    <d v="2026-10-12T00:00:00"/>
    <x v="0"/>
    <x v="1"/>
    <s v="CUST-979"/>
    <s v="Curtain Set"/>
    <x v="2"/>
    <n v="1"/>
    <n v="2200"/>
    <x v="0"/>
    <x v="0"/>
    <n v="2200"/>
    <s v="Counted"/>
  </r>
  <r>
    <s v="FLP559"/>
    <d v="2026-10-12T00:00:00"/>
    <x v="0"/>
    <x v="3"/>
    <s v="CUST-1061"/>
    <s v="LG Microwave Oven"/>
    <x v="4"/>
    <n v="1"/>
    <n v="12500"/>
    <x v="1"/>
    <x v="0"/>
    <n v="12500"/>
    <s v="Counted"/>
  </r>
  <r>
    <s v="FLP560"/>
    <d v="2026-10-13T00:00:00"/>
    <x v="0"/>
    <x v="0"/>
    <s v="CUST-941"/>
    <s v="Boat Airdopes"/>
    <x v="0"/>
    <n v="1"/>
    <n v="1800"/>
    <x v="1"/>
    <x v="0"/>
    <n v="1800"/>
    <s v="Counted"/>
  </r>
  <r>
    <s v="FLP561"/>
    <d v="2026-10-13T00:00:00"/>
    <x v="0"/>
    <x v="0"/>
    <s v="CUST-960"/>
    <s v="Nike T-Shirt"/>
    <x v="3"/>
    <n v="1"/>
    <n v="1600"/>
    <x v="1"/>
    <x v="0"/>
    <n v="1600"/>
    <s v="Counted"/>
  </r>
  <r>
    <s v="FLP562"/>
    <d v="2026-10-13T00:00:00"/>
    <x v="0"/>
    <x v="3"/>
    <s v="CUST-968"/>
    <s v="Curtain Set"/>
    <x v="2"/>
    <n v="1"/>
    <n v="2200"/>
    <x v="2"/>
    <x v="0"/>
    <n v="2200"/>
    <s v="Counted"/>
  </r>
  <r>
    <s v="FLP563"/>
    <d v="2026-10-13T00:00:00"/>
    <x v="0"/>
    <x v="3"/>
    <s v="CUST-1009"/>
    <s v="Philips Air Fryer"/>
    <x v="4"/>
    <n v="2"/>
    <n v="8500"/>
    <x v="1"/>
    <x v="0"/>
    <n v="17000"/>
    <s v="Counted"/>
  </r>
  <r>
    <s v="FLP564"/>
    <d v="2026-10-13T00:00:00"/>
    <x v="0"/>
    <x v="3"/>
    <s v="CUST-919"/>
    <s v="HP Pavilion Laptop"/>
    <x v="0"/>
    <n v="2"/>
    <n v="52000"/>
    <x v="1"/>
    <x v="1"/>
    <n v="104000"/>
    <s v="Counted"/>
  </r>
  <r>
    <s v="FLP565"/>
    <d v="2026-10-13T00:00:00"/>
    <x v="0"/>
    <x v="2"/>
    <s v="CUST-1013"/>
    <s v="Nike T-Shirt"/>
    <x v="3"/>
    <n v="2"/>
    <n v="1600"/>
    <x v="1"/>
    <x v="1"/>
    <n v="3200"/>
    <s v="Counted"/>
  </r>
  <r>
    <s v="FLP566"/>
    <d v="2026-10-13T00:00:00"/>
    <x v="0"/>
    <x v="2"/>
    <s v="CUST-1029"/>
    <s v="Prestige Mixer Grinder"/>
    <x v="4"/>
    <n v="1"/>
    <n v="3800"/>
    <x v="0"/>
    <x v="0"/>
    <n v="3800"/>
    <s v="Counted"/>
  </r>
  <r>
    <s v="FLP567"/>
    <d v="2026-10-13T00:00:00"/>
    <x v="0"/>
    <x v="1"/>
    <s v="CUST-1089"/>
    <s v="Nike T-Shirt"/>
    <x v="3"/>
    <n v="1"/>
    <n v="1600"/>
    <x v="1"/>
    <x v="0"/>
    <n v="1600"/>
    <s v="Counted"/>
  </r>
  <r>
    <s v="FLP568"/>
    <d v="2026-10-13T00:00:00"/>
    <x v="0"/>
    <x v="0"/>
    <s v="CUST-1096"/>
    <s v="OnePlus 12"/>
    <x v="0"/>
    <n v="1"/>
    <n v="58000"/>
    <x v="4"/>
    <x v="0"/>
    <n v="58000"/>
    <s v="Counted"/>
  </r>
  <r>
    <s v="FLP569"/>
    <d v="2026-10-13T00:00:00"/>
    <x v="0"/>
    <x v="3"/>
    <s v="CUST-1021"/>
    <s v="Samsung Galaxy S24"/>
    <x v="0"/>
    <n v="1"/>
    <n v="62000"/>
    <x v="0"/>
    <x v="0"/>
    <n v="62000"/>
    <s v="Counted"/>
  </r>
  <r>
    <s v="FLP570"/>
    <d v="2026-10-13T00:00:00"/>
    <x v="0"/>
    <x v="1"/>
    <s v="CUST-1063"/>
    <s v="Ergonomic Office Chair"/>
    <x v="1"/>
    <n v="1"/>
    <n v="12000"/>
    <x v="2"/>
    <x v="3"/>
    <n v="12000"/>
    <s v="Not Counted"/>
  </r>
  <r>
    <s v="FLP571"/>
    <d v="2026-10-14T00:00:00"/>
    <x v="0"/>
    <x v="2"/>
    <s v="CUST-983"/>
    <s v="Table Lamp"/>
    <x v="2"/>
    <n v="1"/>
    <n v="1800"/>
    <x v="4"/>
    <x v="2"/>
    <n v="1800"/>
    <s v="Not Counted"/>
  </r>
  <r>
    <s v="FLP572"/>
    <d v="2026-10-14T00:00:00"/>
    <x v="0"/>
    <x v="1"/>
    <s v="CUST-974"/>
    <s v="3-Seater Sofa"/>
    <x v="1"/>
    <n v="1"/>
    <n v="28000"/>
    <x v="4"/>
    <x v="0"/>
    <n v="28000"/>
    <s v="Counted"/>
  </r>
  <r>
    <s v="FLP573"/>
    <d v="2026-10-14T00:00:00"/>
    <x v="0"/>
    <x v="1"/>
    <s v="CUST-923"/>
    <s v="Dyson Vacuum Cleaner"/>
    <x v="4"/>
    <n v="1"/>
    <n v="22000"/>
    <x v="1"/>
    <x v="0"/>
    <n v="22000"/>
    <s v="Counted"/>
  </r>
  <r>
    <s v="FLP574"/>
    <d v="2026-10-14T00:00:00"/>
    <x v="0"/>
    <x v="0"/>
    <s v="CUST-1069"/>
    <s v="Dyson Vacuum Cleaner"/>
    <x v="4"/>
    <n v="1"/>
    <n v="22000"/>
    <x v="3"/>
    <x v="0"/>
    <n v="22000"/>
    <s v="Counted"/>
  </r>
  <r>
    <s v="FLP575"/>
    <d v="2026-10-14T00:00:00"/>
    <x v="0"/>
    <x v="2"/>
    <s v="CUST-1060"/>
    <s v="Samsung Galaxy S24"/>
    <x v="0"/>
    <n v="1"/>
    <n v="62000"/>
    <x v="2"/>
    <x v="0"/>
    <n v="62000"/>
    <s v="Counted"/>
  </r>
  <r>
    <s v="FLP576"/>
    <d v="2026-10-14T00:00:00"/>
    <x v="0"/>
    <x v="2"/>
    <s v="CUST-1041"/>
    <s v="Dyson Vacuum Cleaner"/>
    <x v="4"/>
    <n v="1"/>
    <n v="22000"/>
    <x v="1"/>
    <x v="0"/>
    <n v="22000"/>
    <s v="Counted"/>
  </r>
  <r>
    <s v="FLP577"/>
    <d v="2026-10-14T00:00:00"/>
    <x v="0"/>
    <x v="0"/>
    <s v="CUST-1062"/>
    <s v="Prestige Mixer Grinder"/>
    <x v="4"/>
    <n v="1"/>
    <n v="3800"/>
    <x v="4"/>
    <x v="0"/>
    <n v="3800"/>
    <s v="Counted"/>
  </r>
  <r>
    <s v="FLP578"/>
    <d v="2026-10-14T00:00:00"/>
    <x v="0"/>
    <x v="0"/>
    <s v="CUST-1042"/>
    <s v="Boat Airdopes"/>
    <x v="0"/>
    <n v="1"/>
    <n v="1800"/>
    <x v="0"/>
    <x v="0"/>
    <n v="1800"/>
    <s v="Counted"/>
  </r>
  <r>
    <s v="FLP579"/>
    <d v="2026-10-15T00:00:00"/>
    <x v="0"/>
    <x v="0"/>
    <s v="CUST-1066"/>
    <s v="Mi Smart TV 43"/>
    <x v="0"/>
    <n v="1"/>
    <n v="24000"/>
    <x v="3"/>
    <x v="0"/>
    <n v="24000"/>
    <s v="Counted"/>
  </r>
  <r>
    <s v="FLP580"/>
    <d v="2026-10-15T00:00:00"/>
    <x v="0"/>
    <x v="2"/>
    <s v="CUST-1007"/>
    <s v="Prestige Mixer Grinder"/>
    <x v="4"/>
    <n v="1"/>
    <n v="3800"/>
    <x v="3"/>
    <x v="3"/>
    <n v="3800"/>
    <s v="Not Counted"/>
  </r>
  <r>
    <s v="FLP581"/>
    <d v="2026-10-15T00:00:00"/>
    <x v="0"/>
    <x v="3"/>
    <s v="CUST-999"/>
    <s v="Lenovo Tablet"/>
    <x v="0"/>
    <n v="1"/>
    <n v="18000"/>
    <x v="1"/>
    <x v="0"/>
    <n v="18000"/>
    <s v="Counted"/>
  </r>
  <r>
    <s v="FLP582"/>
    <d v="2026-10-15T00:00:00"/>
    <x v="0"/>
    <x v="0"/>
    <s v="CUST-971"/>
    <s v="LG Microwave Oven"/>
    <x v="4"/>
    <n v="1"/>
    <n v="12500"/>
    <x v="2"/>
    <x v="2"/>
    <n v="12500"/>
    <s v="Not Counted"/>
  </r>
  <r>
    <s v="FLP583"/>
    <d v="2026-10-15T00:00:00"/>
    <x v="0"/>
    <x v="2"/>
    <s v="CUST-901"/>
    <s v="3-Seater Sofa"/>
    <x v="1"/>
    <n v="2"/>
    <n v="28000"/>
    <x v="1"/>
    <x v="0"/>
    <n v="56000"/>
    <s v="Counted"/>
  </r>
  <r>
    <s v="FLP584"/>
    <d v="2026-10-15T00:00:00"/>
    <x v="0"/>
    <x v="1"/>
    <s v="CUST-939"/>
    <s v="Levis Jeans"/>
    <x v="3"/>
    <n v="1"/>
    <n v="2800"/>
    <x v="0"/>
    <x v="0"/>
    <n v="2800"/>
    <s v="Counted"/>
  </r>
  <r>
    <s v="FLP585"/>
    <d v="2026-10-15T00:00:00"/>
    <x v="0"/>
    <x v="1"/>
    <s v="CUST-1017"/>
    <s v="3-Seater Sofa"/>
    <x v="1"/>
    <n v="1"/>
    <n v="28000"/>
    <x v="3"/>
    <x v="2"/>
    <n v="28000"/>
    <s v="Not Counted"/>
  </r>
  <r>
    <s v="FLP586"/>
    <d v="2026-10-16T00:00:00"/>
    <x v="0"/>
    <x v="1"/>
    <s v="CUST-960"/>
    <s v="Prestige Mixer Grinder"/>
    <x v="4"/>
    <n v="1"/>
    <n v="3800"/>
    <x v="3"/>
    <x v="0"/>
    <n v="3800"/>
    <s v="Counted"/>
  </r>
  <r>
    <s v="FLP587"/>
    <d v="2026-10-16T00:00:00"/>
    <x v="0"/>
    <x v="1"/>
    <s v="CUST-999"/>
    <s v="3-Seater Sofa"/>
    <x v="1"/>
    <n v="1"/>
    <n v="28000"/>
    <x v="3"/>
    <x v="1"/>
    <n v="28000"/>
    <s v="Counted"/>
  </r>
  <r>
    <s v="FLP588"/>
    <d v="2026-10-16T00:00:00"/>
    <x v="0"/>
    <x v="1"/>
    <s v="CUST-910"/>
    <s v="Fossil Watch"/>
    <x v="3"/>
    <n v="3"/>
    <n v="7500"/>
    <x v="1"/>
    <x v="3"/>
    <n v="22500"/>
    <s v="Not Counted"/>
  </r>
  <r>
    <s v="FLP589"/>
    <d v="2026-10-16T00:00:00"/>
    <x v="0"/>
    <x v="1"/>
    <s v="CUST-926"/>
    <s v="3-Seater Sofa"/>
    <x v="1"/>
    <n v="1"/>
    <n v="28000"/>
    <x v="0"/>
    <x v="0"/>
    <n v="28000"/>
    <s v="Counted"/>
  </r>
  <r>
    <s v="FLP590"/>
    <d v="2026-10-16T00:00:00"/>
    <x v="0"/>
    <x v="3"/>
    <s v="CUST-920"/>
    <s v="LG Microwave Oven"/>
    <x v="4"/>
    <n v="1"/>
    <n v="12500"/>
    <x v="0"/>
    <x v="3"/>
    <n v="12500"/>
    <s v="Not Counted"/>
  </r>
  <r>
    <s v="FLP591"/>
    <d v="2026-10-16T00:00:00"/>
    <x v="0"/>
    <x v="1"/>
    <s v="CUST-1067"/>
    <s v="3-Seater Sofa"/>
    <x v="1"/>
    <n v="1"/>
    <n v="28000"/>
    <x v="1"/>
    <x v="0"/>
    <n v="28000"/>
    <s v="Counted"/>
  </r>
  <r>
    <s v="FLP592"/>
    <d v="2026-10-16T00:00:00"/>
    <x v="0"/>
    <x v="1"/>
    <s v="CUST-982"/>
    <s v="Philips Air Fryer"/>
    <x v="4"/>
    <n v="2"/>
    <n v="8500"/>
    <x v="4"/>
    <x v="2"/>
    <n v="17000"/>
    <s v="Not Counted"/>
  </r>
  <r>
    <s v="FLP593"/>
    <d v="2026-10-17T00:00:00"/>
    <x v="0"/>
    <x v="0"/>
    <s v="CUST-1059"/>
    <s v="Table Lamp"/>
    <x v="2"/>
    <n v="2"/>
    <n v="1800"/>
    <x v="1"/>
    <x v="0"/>
    <n v="3600"/>
    <s v="Counted"/>
  </r>
  <r>
    <s v="FLP594"/>
    <d v="2026-10-17T00:00:00"/>
    <x v="0"/>
    <x v="0"/>
    <s v="CUST-1012"/>
    <s v="Wooden Study Table"/>
    <x v="1"/>
    <n v="3"/>
    <n v="9500"/>
    <x v="3"/>
    <x v="1"/>
    <n v="28500"/>
    <s v="Counted"/>
  </r>
  <r>
    <s v="FLP595"/>
    <d v="2026-10-17T00:00:00"/>
    <x v="0"/>
    <x v="1"/>
    <s v="CUST-943"/>
    <s v="Prestige Mixer Grinder"/>
    <x v="4"/>
    <n v="2"/>
    <n v="3800"/>
    <x v="4"/>
    <x v="2"/>
    <n v="7600"/>
    <s v="Not Counted"/>
  </r>
  <r>
    <s v="FLP596"/>
    <d v="2026-10-17T00:00:00"/>
    <x v="0"/>
    <x v="0"/>
    <s v="CUST-976"/>
    <s v="Samsung Galaxy S24"/>
    <x v="0"/>
    <n v="1"/>
    <n v="62000"/>
    <x v="0"/>
    <x v="0"/>
    <n v="62000"/>
    <s v="Counted"/>
  </r>
  <r>
    <s v="FLP597"/>
    <d v="2026-10-17T00:00:00"/>
    <x v="0"/>
    <x v="3"/>
    <s v="CUST-944"/>
    <s v="Lenovo Tablet"/>
    <x v="0"/>
    <n v="1"/>
    <n v="18000"/>
    <x v="1"/>
    <x v="0"/>
    <n v="18000"/>
    <s v="Counted"/>
  </r>
  <r>
    <s v="FLP598"/>
    <d v="2026-10-17T00:00:00"/>
    <x v="0"/>
    <x v="3"/>
    <s v="CUST-1028"/>
    <s v="King Size Bed Sheet"/>
    <x v="2"/>
    <n v="1"/>
    <n v="2400"/>
    <x v="3"/>
    <x v="0"/>
    <n v="2400"/>
    <s v="Counted"/>
  </r>
  <r>
    <s v="FLP599"/>
    <d v="2026-10-17T00:00:00"/>
    <x v="0"/>
    <x v="1"/>
    <s v="CUST-966"/>
    <s v="Curtain Set"/>
    <x v="2"/>
    <n v="1"/>
    <n v="2200"/>
    <x v="4"/>
    <x v="2"/>
    <n v="2200"/>
    <s v="Not Counted"/>
  </r>
  <r>
    <s v="FLP600"/>
    <d v="2026-10-18T00:00:00"/>
    <x v="0"/>
    <x v="3"/>
    <s v="CUST-919"/>
    <s v="Curtain Set"/>
    <x v="2"/>
    <n v="2"/>
    <n v="2200"/>
    <x v="0"/>
    <x v="0"/>
    <n v="4400"/>
    <s v="Counted"/>
  </r>
  <r>
    <s v="FLP601"/>
    <d v="2026-10-18T00:00:00"/>
    <x v="0"/>
    <x v="1"/>
    <s v="CUST-1077"/>
    <s v="Levis Jeans"/>
    <x v="3"/>
    <n v="1"/>
    <n v="2800"/>
    <x v="1"/>
    <x v="2"/>
    <n v="2800"/>
    <s v="Not Counted"/>
  </r>
  <r>
    <s v="FLP602"/>
    <d v="2026-10-18T00:00:00"/>
    <x v="0"/>
    <x v="1"/>
    <s v="CUST-928"/>
    <s v="Sony Headphones"/>
    <x v="0"/>
    <n v="3"/>
    <n v="9500"/>
    <x v="1"/>
    <x v="0"/>
    <n v="28500"/>
    <s v="Counted"/>
  </r>
  <r>
    <s v="FLP603"/>
    <d v="2026-10-18T00:00:00"/>
    <x v="0"/>
    <x v="2"/>
    <s v="CUST-906"/>
    <s v="Levis Jeans"/>
    <x v="3"/>
    <n v="1"/>
    <n v="2800"/>
    <x v="3"/>
    <x v="0"/>
    <n v="2800"/>
    <s v="Counted"/>
  </r>
  <r>
    <s v="FLP604"/>
    <d v="2026-10-18T00:00:00"/>
    <x v="0"/>
    <x v="0"/>
    <s v="CUST-1056"/>
    <s v="Ergonomic Office Chair"/>
    <x v="1"/>
    <n v="1"/>
    <n v="12000"/>
    <x v="2"/>
    <x v="2"/>
    <n v="12000"/>
    <s v="Not Counted"/>
  </r>
  <r>
    <s v="FLP605"/>
    <d v="2026-10-18T00:00:00"/>
    <x v="0"/>
    <x v="3"/>
    <s v="CUST-1056"/>
    <s v="Wooden Study Table"/>
    <x v="1"/>
    <n v="2"/>
    <n v="9500"/>
    <x v="2"/>
    <x v="0"/>
    <n v="19000"/>
    <s v="Counted"/>
  </r>
  <r>
    <s v="FLP606"/>
    <d v="2026-10-18T00:00:00"/>
    <x v="0"/>
    <x v="3"/>
    <s v="CUST-1061"/>
    <s v="Sony Headphones"/>
    <x v="0"/>
    <n v="1"/>
    <n v="9500"/>
    <x v="1"/>
    <x v="0"/>
    <n v="9500"/>
    <s v="Counted"/>
  </r>
  <r>
    <s v="FLP607"/>
    <d v="2026-10-18T00:00:00"/>
    <x v="0"/>
    <x v="1"/>
    <s v="CUST-909"/>
    <s v="Samsung Galaxy S24"/>
    <x v="0"/>
    <n v="1"/>
    <n v="62000"/>
    <x v="4"/>
    <x v="1"/>
    <n v="62000"/>
    <s v="Counted"/>
  </r>
  <r>
    <s v="FLP608"/>
    <d v="2026-10-18T00:00:00"/>
    <x v="0"/>
    <x v="2"/>
    <s v="CUST-1092"/>
    <s v="OnePlus 12"/>
    <x v="0"/>
    <n v="2"/>
    <n v="58000"/>
    <x v="0"/>
    <x v="0"/>
    <n v="116000"/>
    <s v="Counted"/>
  </r>
  <r>
    <s v="FLP609"/>
    <d v="2026-10-19T00:00:00"/>
    <x v="0"/>
    <x v="2"/>
    <s v="CUST-1036"/>
    <s v="Adidas Sports Jacket"/>
    <x v="3"/>
    <n v="2"/>
    <n v="5000"/>
    <x v="0"/>
    <x v="0"/>
    <n v="10000"/>
    <s v="Counted"/>
  </r>
  <r>
    <s v="FLP610"/>
    <d v="2026-10-19T00:00:00"/>
    <x v="0"/>
    <x v="1"/>
    <s v="CUST-976"/>
    <s v="Boat Airdopes"/>
    <x v="0"/>
    <n v="1"/>
    <n v="1800"/>
    <x v="2"/>
    <x v="0"/>
    <n v="1800"/>
    <s v="Counted"/>
  </r>
  <r>
    <s v="FLP611"/>
    <d v="2026-10-19T00:00:00"/>
    <x v="0"/>
    <x v="0"/>
    <s v="CUST-937"/>
    <s v="Mi Smart TV 43"/>
    <x v="0"/>
    <n v="1"/>
    <n v="24000"/>
    <x v="2"/>
    <x v="0"/>
    <n v="24000"/>
    <s v="Counted"/>
  </r>
  <r>
    <s v="FLP612"/>
    <d v="2026-10-19T00:00:00"/>
    <x v="0"/>
    <x v="1"/>
    <s v="CUST-1043"/>
    <s v="Philips Air Fryer"/>
    <x v="4"/>
    <n v="2"/>
    <n v="8500"/>
    <x v="0"/>
    <x v="1"/>
    <n v="17000"/>
    <s v="Counted"/>
  </r>
  <r>
    <s v="FLP613"/>
    <d v="2026-10-19T00:00:00"/>
    <x v="0"/>
    <x v="0"/>
    <s v="CUST-1017"/>
    <s v="Apple iPhone 15"/>
    <x v="0"/>
    <n v="1"/>
    <n v="65000"/>
    <x v="0"/>
    <x v="1"/>
    <n v="65000"/>
    <s v="Counted"/>
  </r>
  <r>
    <s v="FLP614"/>
    <d v="2026-10-19T00:00:00"/>
    <x v="0"/>
    <x v="2"/>
    <s v="CUST-928"/>
    <s v="Ergonomic Office Chair"/>
    <x v="1"/>
    <n v="1"/>
    <n v="12000"/>
    <x v="4"/>
    <x v="0"/>
    <n v="12000"/>
    <s v="Counted"/>
  </r>
  <r>
    <s v="FLP615"/>
    <d v="2026-10-19T00:00:00"/>
    <x v="0"/>
    <x v="2"/>
    <s v="CUST-1057"/>
    <s v="Nike T-Shirt"/>
    <x v="3"/>
    <n v="2"/>
    <n v="1600"/>
    <x v="1"/>
    <x v="0"/>
    <n v="3200"/>
    <s v="Counted"/>
  </r>
  <r>
    <s v="FLP616"/>
    <d v="2026-10-19T00:00:00"/>
    <x v="0"/>
    <x v="2"/>
    <s v="CUST-1067"/>
    <s v="Curtain Set"/>
    <x v="2"/>
    <n v="2"/>
    <n v="2200"/>
    <x v="0"/>
    <x v="0"/>
    <n v="4400"/>
    <s v="Counted"/>
  </r>
  <r>
    <s v="FLP617"/>
    <d v="2026-10-19T00:00:00"/>
    <x v="0"/>
    <x v="1"/>
    <s v="CUST-930"/>
    <s v="Samsung Galaxy S24"/>
    <x v="0"/>
    <n v="1"/>
    <n v="62000"/>
    <x v="1"/>
    <x v="2"/>
    <n v="62000"/>
    <s v="Not Counted"/>
  </r>
  <r>
    <s v="FLP618"/>
    <d v="2026-10-20T00:00:00"/>
    <x v="0"/>
    <x v="2"/>
    <s v="CUST-1072"/>
    <s v="HP Pavilion Laptop"/>
    <x v="0"/>
    <n v="1"/>
    <n v="52000"/>
    <x v="3"/>
    <x v="1"/>
    <n v="52000"/>
    <s v="Counted"/>
  </r>
  <r>
    <s v="FLP619"/>
    <d v="2026-10-20T00:00:00"/>
    <x v="0"/>
    <x v="3"/>
    <s v="CUST-1007"/>
    <s v="Adidas Sports Jacket"/>
    <x v="3"/>
    <n v="1"/>
    <n v="5000"/>
    <x v="4"/>
    <x v="2"/>
    <n v="5000"/>
    <s v="Not Counted"/>
  </r>
  <r>
    <s v="FLP620"/>
    <d v="2026-10-20T00:00:00"/>
    <x v="0"/>
    <x v="2"/>
    <s v="CUST-909"/>
    <s v="Nike T-Shirt"/>
    <x v="3"/>
    <n v="1"/>
    <n v="1600"/>
    <x v="4"/>
    <x v="0"/>
    <n v="1600"/>
    <s v="Counted"/>
  </r>
  <r>
    <s v="FLP621"/>
    <d v="2026-10-20T00:00:00"/>
    <x v="0"/>
    <x v="2"/>
    <s v="CUST-926"/>
    <s v="Curtain Set"/>
    <x v="2"/>
    <n v="3"/>
    <n v="2200"/>
    <x v="3"/>
    <x v="0"/>
    <n v="6600"/>
    <s v="Counted"/>
  </r>
  <r>
    <s v="FLP622"/>
    <d v="2026-10-21T00:00:00"/>
    <x v="0"/>
    <x v="1"/>
    <s v="CUST-971"/>
    <s v="Fossil Watch"/>
    <x v="3"/>
    <n v="1"/>
    <n v="7500"/>
    <x v="1"/>
    <x v="0"/>
    <n v="7500"/>
    <s v="Counted"/>
  </r>
  <r>
    <s v="FLP623"/>
    <d v="2026-10-21T00:00:00"/>
    <x v="0"/>
    <x v="3"/>
    <s v="CUST-1065"/>
    <s v="Curtain Set"/>
    <x v="2"/>
    <n v="1"/>
    <n v="2200"/>
    <x v="4"/>
    <x v="3"/>
    <n v="2200"/>
    <s v="Not Counted"/>
  </r>
  <r>
    <s v="FLP624"/>
    <d v="2026-10-21T00:00:00"/>
    <x v="0"/>
    <x v="3"/>
    <s v="CUST-933"/>
    <s v="Samsung Galaxy S24"/>
    <x v="0"/>
    <n v="1"/>
    <n v="62000"/>
    <x v="2"/>
    <x v="0"/>
    <n v="62000"/>
    <s v="Counted"/>
  </r>
  <r>
    <s v="FLP625"/>
    <d v="2026-10-21T00:00:00"/>
    <x v="0"/>
    <x v="3"/>
    <s v="CUST-960"/>
    <s v="Dyson Vacuum Cleaner"/>
    <x v="4"/>
    <n v="1"/>
    <n v="22000"/>
    <x v="1"/>
    <x v="0"/>
    <n v="22000"/>
    <s v="Counted"/>
  </r>
  <r>
    <s v="FLP626"/>
    <d v="2026-10-21T00:00:00"/>
    <x v="0"/>
    <x v="3"/>
    <s v="CUST-934"/>
    <s v="Nike T-Shirt"/>
    <x v="3"/>
    <n v="1"/>
    <n v="1600"/>
    <x v="0"/>
    <x v="1"/>
    <n v="1600"/>
    <s v="Counted"/>
  </r>
  <r>
    <s v="FLP627"/>
    <d v="2026-10-21T00:00:00"/>
    <x v="0"/>
    <x v="0"/>
    <s v="CUST-934"/>
    <s v="Mi Smart TV 43"/>
    <x v="0"/>
    <n v="1"/>
    <n v="24000"/>
    <x v="1"/>
    <x v="1"/>
    <n v="24000"/>
    <s v="Counted"/>
  </r>
  <r>
    <s v="FLP628"/>
    <d v="2026-10-21T00:00:00"/>
    <x v="0"/>
    <x v="0"/>
    <s v="CUST-945"/>
    <s v="Lenovo Tablet"/>
    <x v="0"/>
    <n v="1"/>
    <n v="18000"/>
    <x v="1"/>
    <x v="0"/>
    <n v="18000"/>
    <s v="Counted"/>
  </r>
  <r>
    <s v="FLP629"/>
    <d v="2026-10-21T00:00:00"/>
    <x v="0"/>
    <x v="0"/>
    <s v="CUST-1022"/>
    <s v="Wall Clock"/>
    <x v="2"/>
    <n v="1"/>
    <n v="1500"/>
    <x v="0"/>
    <x v="0"/>
    <n v="1500"/>
    <s v="Counted"/>
  </r>
  <r>
    <s v="FLP630"/>
    <d v="2026-10-22T00:00:00"/>
    <x v="0"/>
    <x v="3"/>
    <s v="CUST-1058"/>
    <s v="Levis Jeans"/>
    <x v="3"/>
    <n v="1"/>
    <n v="2800"/>
    <x v="1"/>
    <x v="1"/>
    <n v="2800"/>
    <s v="Counted"/>
  </r>
  <r>
    <s v="FLP631"/>
    <d v="2026-10-22T00:00:00"/>
    <x v="0"/>
    <x v="1"/>
    <s v="CUST-1065"/>
    <s v="Philips Air Fryer"/>
    <x v="4"/>
    <n v="1"/>
    <n v="8500"/>
    <x v="3"/>
    <x v="0"/>
    <n v="8500"/>
    <s v="Counted"/>
  </r>
  <r>
    <s v="FLP632"/>
    <d v="2026-10-22T00:00:00"/>
    <x v="0"/>
    <x v="1"/>
    <s v="CUST-1076"/>
    <s v="Table Lamp"/>
    <x v="2"/>
    <n v="2"/>
    <n v="1800"/>
    <x v="1"/>
    <x v="1"/>
    <n v="3600"/>
    <s v="Counted"/>
  </r>
  <r>
    <s v="FLP633"/>
    <d v="2026-10-22T00:00:00"/>
    <x v="0"/>
    <x v="0"/>
    <s v="CUST-983"/>
    <s v="Curtain Set"/>
    <x v="2"/>
    <n v="1"/>
    <n v="2200"/>
    <x v="4"/>
    <x v="0"/>
    <n v="2200"/>
    <s v="Counted"/>
  </r>
  <r>
    <s v="FLP634"/>
    <d v="2026-10-22T00:00:00"/>
    <x v="0"/>
    <x v="2"/>
    <s v="CUST-998"/>
    <s v="Ergonomic Office Chair"/>
    <x v="1"/>
    <n v="1"/>
    <n v="12000"/>
    <x v="3"/>
    <x v="0"/>
    <n v="12000"/>
    <s v="Counted"/>
  </r>
  <r>
    <s v="FLP635"/>
    <d v="2026-10-23T00:00:00"/>
    <x v="0"/>
    <x v="1"/>
    <s v="CUST-926"/>
    <s v="Curtain Set"/>
    <x v="2"/>
    <n v="1"/>
    <n v="2200"/>
    <x v="2"/>
    <x v="0"/>
    <n v="2200"/>
    <s v="Counted"/>
  </r>
  <r>
    <s v="FLP636"/>
    <d v="2026-10-23T00:00:00"/>
    <x v="0"/>
    <x v="3"/>
    <s v="CUST-1011"/>
    <s v="Fossil Watch"/>
    <x v="3"/>
    <n v="1"/>
    <n v="7500"/>
    <x v="0"/>
    <x v="0"/>
    <n v="7500"/>
    <s v="Counted"/>
  </r>
  <r>
    <s v="FLP637"/>
    <d v="2026-10-23T00:00:00"/>
    <x v="0"/>
    <x v="1"/>
    <s v="CUST-1007"/>
    <s v="3-Seater Sofa"/>
    <x v="1"/>
    <n v="1"/>
    <n v="28000"/>
    <x v="2"/>
    <x v="0"/>
    <n v="28000"/>
    <s v="Counted"/>
  </r>
  <r>
    <s v="FLP638"/>
    <d v="2026-10-23T00:00:00"/>
    <x v="0"/>
    <x v="2"/>
    <s v="CUST-940"/>
    <s v="3-Seater Sofa"/>
    <x v="1"/>
    <n v="1"/>
    <n v="28000"/>
    <x v="4"/>
    <x v="0"/>
    <n v="28000"/>
    <s v="Counted"/>
  </r>
  <r>
    <s v="FLP639"/>
    <d v="2026-10-24T00:00:00"/>
    <x v="0"/>
    <x v="0"/>
    <s v="CUST-1011"/>
    <s v="OnePlus 12"/>
    <x v="0"/>
    <n v="1"/>
    <n v="58000"/>
    <x v="1"/>
    <x v="1"/>
    <n v="58000"/>
    <s v="Counted"/>
  </r>
  <r>
    <s v="FLP640"/>
    <d v="2026-10-24T00:00:00"/>
    <x v="0"/>
    <x v="2"/>
    <s v="CUST-1072"/>
    <s v="HP Pavilion Laptop"/>
    <x v="0"/>
    <n v="1"/>
    <n v="52000"/>
    <x v="1"/>
    <x v="0"/>
    <n v="52000"/>
    <s v="Counted"/>
  </r>
  <r>
    <s v="FLP641"/>
    <d v="2026-10-24T00:00:00"/>
    <x v="0"/>
    <x v="1"/>
    <s v="CUST-1085"/>
    <s v="Philips Air Fryer"/>
    <x v="4"/>
    <n v="3"/>
    <n v="8500"/>
    <x v="1"/>
    <x v="0"/>
    <n v="25500"/>
    <s v="Counted"/>
  </r>
  <r>
    <s v="FLP642"/>
    <d v="2026-10-24T00:00:00"/>
    <x v="0"/>
    <x v="3"/>
    <s v="CUST-940"/>
    <s v="Wooden Study Table"/>
    <x v="1"/>
    <n v="1"/>
    <n v="9500"/>
    <x v="4"/>
    <x v="0"/>
    <n v="9500"/>
    <s v="Counted"/>
  </r>
  <r>
    <s v="FLP643"/>
    <d v="2026-10-24T00:00:00"/>
    <x v="0"/>
    <x v="2"/>
    <s v="CUST-930"/>
    <s v="Mi Smart TV 43"/>
    <x v="0"/>
    <n v="1"/>
    <n v="24000"/>
    <x v="2"/>
    <x v="0"/>
    <n v="24000"/>
    <s v="Counted"/>
  </r>
  <r>
    <s v="FLP644"/>
    <d v="2026-10-24T00:00:00"/>
    <x v="0"/>
    <x v="0"/>
    <s v="CUST-1056"/>
    <s v="Wall Clock"/>
    <x v="2"/>
    <n v="2"/>
    <n v="1500"/>
    <x v="3"/>
    <x v="2"/>
    <n v="3000"/>
    <s v="Not Counted"/>
  </r>
  <r>
    <s v="FLP645"/>
    <d v="2026-10-24T00:00:00"/>
    <x v="0"/>
    <x v="2"/>
    <s v="CUST-1080"/>
    <s v="Ergonomic Office Chair"/>
    <x v="1"/>
    <n v="1"/>
    <n v="12000"/>
    <x v="2"/>
    <x v="2"/>
    <n v="12000"/>
    <s v="Not Counted"/>
  </r>
  <r>
    <s v="FLP646"/>
    <d v="2026-10-25T00:00:00"/>
    <x v="0"/>
    <x v="3"/>
    <s v="CUST-1045"/>
    <s v="Bookshelf Rack"/>
    <x v="1"/>
    <n v="1"/>
    <n v="6500"/>
    <x v="4"/>
    <x v="0"/>
    <n v="6500"/>
    <s v="Counted"/>
  </r>
  <r>
    <s v="FLP647"/>
    <d v="2026-10-25T00:00:00"/>
    <x v="0"/>
    <x v="0"/>
    <s v="CUST-924"/>
    <s v="LG Microwave Oven"/>
    <x v="4"/>
    <n v="1"/>
    <n v="12500"/>
    <x v="2"/>
    <x v="0"/>
    <n v="12500"/>
    <s v="Counted"/>
  </r>
  <r>
    <s v="FLP648"/>
    <d v="2026-10-25T00:00:00"/>
    <x v="0"/>
    <x v="3"/>
    <s v="CUST-995"/>
    <s v="Wall Clock"/>
    <x v="2"/>
    <n v="1"/>
    <n v="1500"/>
    <x v="1"/>
    <x v="0"/>
    <n v="1500"/>
    <s v="Counted"/>
  </r>
  <r>
    <s v="FLP649"/>
    <d v="2026-10-25T00:00:00"/>
    <x v="0"/>
    <x v="0"/>
    <s v="CUST-940"/>
    <s v="Levis Jeans"/>
    <x v="3"/>
    <n v="1"/>
    <n v="2800"/>
    <x v="1"/>
    <x v="0"/>
    <n v="2800"/>
    <s v="Counted"/>
  </r>
  <r>
    <s v="FLP650"/>
    <d v="2026-10-25T00:00:00"/>
    <x v="0"/>
    <x v="1"/>
    <s v="CUST-1070"/>
    <s v="Philips Air Fryer"/>
    <x v="4"/>
    <n v="1"/>
    <n v="8500"/>
    <x v="0"/>
    <x v="0"/>
    <n v="8500"/>
    <s v="Counted"/>
  </r>
  <r>
    <s v="FLP651"/>
    <d v="2026-10-25T00:00:00"/>
    <x v="0"/>
    <x v="0"/>
    <s v="CUST-989"/>
    <s v="Wall Clock"/>
    <x v="2"/>
    <n v="1"/>
    <n v="1500"/>
    <x v="0"/>
    <x v="0"/>
    <n v="1500"/>
    <s v="Counted"/>
  </r>
  <r>
    <s v="FLP652"/>
    <d v="2026-10-25T00:00:00"/>
    <x v="0"/>
    <x v="2"/>
    <s v="CUST-912"/>
    <s v="Philips Air Fryer"/>
    <x v="4"/>
    <n v="1"/>
    <n v="8500"/>
    <x v="1"/>
    <x v="3"/>
    <n v="8500"/>
    <s v="Not Counted"/>
  </r>
  <r>
    <s v="FLP653"/>
    <d v="2026-10-25T00:00:00"/>
    <x v="0"/>
    <x v="2"/>
    <s v="CUST-955"/>
    <s v="Samsung Galaxy S24"/>
    <x v="0"/>
    <n v="1"/>
    <n v="62000"/>
    <x v="2"/>
    <x v="1"/>
    <n v="62000"/>
    <s v="Counted"/>
  </r>
  <r>
    <s v="FLP654"/>
    <d v="2026-10-25T00:00:00"/>
    <x v="0"/>
    <x v="0"/>
    <s v="CUST-1028"/>
    <s v="Wooden Study Table"/>
    <x v="1"/>
    <n v="1"/>
    <n v="9500"/>
    <x v="2"/>
    <x v="0"/>
    <n v="9500"/>
    <s v="Counted"/>
  </r>
  <r>
    <s v="FLP655"/>
    <d v="2026-10-25T00:00:00"/>
    <x v="0"/>
    <x v="3"/>
    <s v="CUST-1029"/>
    <s v="King Size Bed Sheet"/>
    <x v="2"/>
    <n v="1"/>
    <n v="2400"/>
    <x v="0"/>
    <x v="0"/>
    <n v="2400"/>
    <s v="Counted"/>
  </r>
  <r>
    <s v="FLP656"/>
    <d v="2026-10-25T00:00:00"/>
    <x v="0"/>
    <x v="0"/>
    <s v="CUST-1012"/>
    <s v="Bookshelf Rack"/>
    <x v="1"/>
    <n v="1"/>
    <n v="6500"/>
    <x v="1"/>
    <x v="2"/>
    <n v="6500"/>
    <s v="Not Counted"/>
  </r>
  <r>
    <s v="FLP657"/>
    <d v="2026-10-26T00:00:00"/>
    <x v="0"/>
    <x v="1"/>
    <s v="CUST-1082"/>
    <s v="3-Seater Sofa"/>
    <x v="1"/>
    <n v="1"/>
    <n v="28000"/>
    <x v="4"/>
    <x v="0"/>
    <n v="28000"/>
    <s v="Counted"/>
  </r>
  <r>
    <s v="FLP658"/>
    <d v="2026-10-26T00:00:00"/>
    <x v="0"/>
    <x v="2"/>
    <s v="CUST-944"/>
    <s v="King Size Bed Sheet"/>
    <x v="2"/>
    <n v="1"/>
    <n v="2400"/>
    <x v="2"/>
    <x v="0"/>
    <n v="2400"/>
    <s v="Counted"/>
  </r>
  <r>
    <s v="FLP659"/>
    <d v="2026-10-26T00:00:00"/>
    <x v="0"/>
    <x v="0"/>
    <s v="CUST-1012"/>
    <s v="Prestige Mixer Grinder"/>
    <x v="4"/>
    <n v="2"/>
    <n v="3800"/>
    <x v="3"/>
    <x v="0"/>
    <n v="7600"/>
    <s v="Counted"/>
  </r>
  <r>
    <s v="FLP660"/>
    <d v="2026-10-26T00:00:00"/>
    <x v="0"/>
    <x v="0"/>
    <s v="CUST-1002"/>
    <s v="Levis Jeans"/>
    <x v="3"/>
    <n v="1"/>
    <n v="2800"/>
    <x v="3"/>
    <x v="1"/>
    <n v="2800"/>
    <s v="Counted"/>
  </r>
  <r>
    <s v="FLP661"/>
    <d v="2026-10-26T00:00:00"/>
    <x v="0"/>
    <x v="3"/>
    <s v="CUST-920"/>
    <s v="Lenovo Tablet"/>
    <x v="0"/>
    <n v="1"/>
    <n v="18000"/>
    <x v="0"/>
    <x v="0"/>
    <n v="18000"/>
    <s v="Counted"/>
  </r>
  <r>
    <s v="FLP662"/>
    <d v="2026-10-27T00:00:00"/>
    <x v="0"/>
    <x v="2"/>
    <s v="CUST-990"/>
    <s v="Puma Running Shoes"/>
    <x v="3"/>
    <n v="1"/>
    <n v="3500"/>
    <x v="2"/>
    <x v="1"/>
    <n v="3500"/>
    <s v="Counted"/>
  </r>
  <r>
    <s v="FLP663"/>
    <d v="2026-10-27T00:00:00"/>
    <x v="0"/>
    <x v="3"/>
    <s v="CUST-966"/>
    <s v="HP Pavilion Laptop"/>
    <x v="0"/>
    <n v="1"/>
    <n v="52000"/>
    <x v="1"/>
    <x v="0"/>
    <n v="52000"/>
    <s v="Counted"/>
  </r>
  <r>
    <s v="FLP664"/>
    <d v="2026-10-27T00:00:00"/>
    <x v="0"/>
    <x v="0"/>
    <s v="CUST-946"/>
    <s v="Dyson Vacuum Cleaner"/>
    <x v="4"/>
    <n v="1"/>
    <n v="22000"/>
    <x v="3"/>
    <x v="0"/>
    <n v="22000"/>
    <s v="Counted"/>
  </r>
  <r>
    <s v="FLP665"/>
    <d v="2026-10-27T00:00:00"/>
    <x v="0"/>
    <x v="1"/>
    <s v="CUST-1075"/>
    <s v="Curtain Set"/>
    <x v="2"/>
    <n v="2"/>
    <n v="2200"/>
    <x v="3"/>
    <x v="0"/>
    <n v="4400"/>
    <s v="Counted"/>
  </r>
  <r>
    <s v="FLP666"/>
    <d v="2026-10-27T00:00:00"/>
    <x v="0"/>
    <x v="2"/>
    <s v="CUST-1061"/>
    <s v="Fossil Watch"/>
    <x v="3"/>
    <n v="3"/>
    <n v="7500"/>
    <x v="1"/>
    <x v="0"/>
    <n v="22500"/>
    <s v="Counted"/>
  </r>
  <r>
    <s v="FLP667"/>
    <d v="2026-10-28T00:00:00"/>
    <x v="0"/>
    <x v="2"/>
    <s v="CUST-971"/>
    <s v="Table Lamp"/>
    <x v="2"/>
    <n v="1"/>
    <n v="1800"/>
    <x v="4"/>
    <x v="0"/>
    <n v="1800"/>
    <s v="Counted"/>
  </r>
  <r>
    <s v="FLP668"/>
    <d v="2026-10-28T00:00:00"/>
    <x v="0"/>
    <x v="1"/>
    <s v="CUST-910"/>
    <s v="OnePlus 12"/>
    <x v="0"/>
    <n v="1"/>
    <n v="58000"/>
    <x v="1"/>
    <x v="2"/>
    <n v="58000"/>
    <s v="Not Counted"/>
  </r>
  <r>
    <s v="FLP669"/>
    <d v="2026-10-29T00:00:00"/>
    <x v="0"/>
    <x v="0"/>
    <s v="CUST-1058"/>
    <s v="OnePlus 12"/>
    <x v="0"/>
    <n v="1"/>
    <n v="58000"/>
    <x v="4"/>
    <x v="0"/>
    <n v="58000"/>
    <s v="Counted"/>
  </r>
  <r>
    <s v="FLP670"/>
    <d v="2026-10-29T00:00:00"/>
    <x v="0"/>
    <x v="0"/>
    <s v="CUST-1016"/>
    <s v="Levis Jeans"/>
    <x v="3"/>
    <n v="1"/>
    <n v="2800"/>
    <x v="3"/>
    <x v="0"/>
    <n v="2800"/>
    <s v="Counted"/>
  </r>
  <r>
    <s v="FLP671"/>
    <d v="2026-10-29T00:00:00"/>
    <x v="0"/>
    <x v="1"/>
    <s v="CUST-1029"/>
    <s v="Sony Headphones"/>
    <x v="0"/>
    <n v="1"/>
    <n v="9500"/>
    <x v="1"/>
    <x v="0"/>
    <n v="9500"/>
    <s v="Counted"/>
  </r>
  <r>
    <s v="FLP672"/>
    <d v="2026-10-29T00:00:00"/>
    <x v="0"/>
    <x v="2"/>
    <s v="CUST-1083"/>
    <s v="Mi Smart TV 43"/>
    <x v="0"/>
    <n v="1"/>
    <n v="24000"/>
    <x v="1"/>
    <x v="0"/>
    <n v="24000"/>
    <s v="Counted"/>
  </r>
  <r>
    <s v="FLP673"/>
    <d v="2026-10-29T00:00:00"/>
    <x v="0"/>
    <x v="1"/>
    <s v="CUST-1013"/>
    <s v="Samsung Galaxy S24"/>
    <x v="0"/>
    <n v="1"/>
    <n v="62000"/>
    <x v="0"/>
    <x v="0"/>
    <n v="62000"/>
    <s v="Counted"/>
  </r>
  <r>
    <s v="FLP674"/>
    <d v="2026-10-29T00:00:00"/>
    <x v="0"/>
    <x v="2"/>
    <s v="CUST-1000"/>
    <s v="Bookshelf Rack"/>
    <x v="1"/>
    <n v="1"/>
    <n v="6500"/>
    <x v="0"/>
    <x v="0"/>
    <n v="6500"/>
    <s v="Counted"/>
  </r>
  <r>
    <s v="FLP675"/>
    <d v="2026-10-29T00:00:00"/>
    <x v="0"/>
    <x v="2"/>
    <s v="CUST-917"/>
    <s v="Nike T-Shirt"/>
    <x v="3"/>
    <n v="1"/>
    <n v="1600"/>
    <x v="1"/>
    <x v="0"/>
    <n v="1600"/>
    <s v="Counted"/>
  </r>
  <r>
    <s v="FLP676"/>
    <d v="2026-10-29T00:00:00"/>
    <x v="0"/>
    <x v="3"/>
    <s v="CUST-986"/>
    <s v="King Size Bed Sheet"/>
    <x v="2"/>
    <n v="1"/>
    <n v="2400"/>
    <x v="1"/>
    <x v="0"/>
    <n v="2400"/>
    <s v="Counted"/>
  </r>
  <r>
    <s v="FLP677"/>
    <d v="2026-10-29T00:00:00"/>
    <x v="0"/>
    <x v="1"/>
    <s v="CUST-934"/>
    <s v="Bookshelf Rack"/>
    <x v="1"/>
    <n v="1"/>
    <n v="6500"/>
    <x v="4"/>
    <x v="3"/>
    <n v="6500"/>
    <s v="Not Counted"/>
  </r>
  <r>
    <s v="FLP678"/>
    <d v="2026-10-30T00:00:00"/>
    <x v="0"/>
    <x v="2"/>
    <s v="CUST-933"/>
    <s v="Wooden Study Table"/>
    <x v="1"/>
    <n v="1"/>
    <n v="9500"/>
    <x v="4"/>
    <x v="2"/>
    <n v="9500"/>
    <s v="Not Counted"/>
  </r>
  <r>
    <s v="FLP679"/>
    <d v="2026-10-30T00:00:00"/>
    <x v="0"/>
    <x v="0"/>
    <s v="CUST-1066"/>
    <s v="LG Microwave Oven"/>
    <x v="4"/>
    <n v="2"/>
    <n v="12500"/>
    <x v="4"/>
    <x v="0"/>
    <n v="25000"/>
    <s v="Counted"/>
  </r>
  <r>
    <s v="FLP680"/>
    <d v="2026-10-30T00:00:00"/>
    <x v="0"/>
    <x v="3"/>
    <s v="CUST-955"/>
    <s v="Apple iPhone 15"/>
    <x v="0"/>
    <n v="1"/>
    <n v="65000"/>
    <x v="1"/>
    <x v="1"/>
    <n v="65000"/>
    <s v="Counted"/>
  </r>
  <r>
    <s v="FLP681"/>
    <d v="2026-10-30T00:00:00"/>
    <x v="0"/>
    <x v="3"/>
    <s v="CUST-940"/>
    <s v="Sony Headphones"/>
    <x v="0"/>
    <n v="1"/>
    <n v="9500"/>
    <x v="1"/>
    <x v="2"/>
    <n v="9500"/>
    <s v="Not Counted"/>
  </r>
  <r>
    <s v="FLP682"/>
    <d v="2026-10-30T00:00:00"/>
    <x v="0"/>
    <x v="0"/>
    <s v="CUST-1070"/>
    <s v="Mi Smart TV 43"/>
    <x v="0"/>
    <n v="1"/>
    <n v="24000"/>
    <x v="1"/>
    <x v="1"/>
    <n v="24000"/>
    <s v="Counted"/>
  </r>
  <r>
    <s v="FLP683"/>
    <d v="2026-10-30T00:00:00"/>
    <x v="0"/>
    <x v="3"/>
    <s v="CUST-942"/>
    <s v="HP Pavilion Laptop"/>
    <x v="0"/>
    <n v="1"/>
    <n v="52000"/>
    <x v="1"/>
    <x v="1"/>
    <n v="52000"/>
    <s v="Counted"/>
  </r>
  <r>
    <s v="FLP684"/>
    <d v="2026-10-31T00:00:00"/>
    <x v="0"/>
    <x v="3"/>
    <s v="CUST-1085"/>
    <s v="Nike T-Shirt"/>
    <x v="3"/>
    <n v="2"/>
    <n v="1600"/>
    <x v="0"/>
    <x v="0"/>
    <n v="3200"/>
    <s v="Counted"/>
  </r>
  <r>
    <s v="FLP685"/>
    <d v="2026-10-31T00:00:00"/>
    <x v="0"/>
    <x v="1"/>
    <s v="CUST-1057"/>
    <s v="Philips Air Fryer"/>
    <x v="4"/>
    <n v="2"/>
    <n v="8500"/>
    <x v="1"/>
    <x v="1"/>
    <n v="17000"/>
    <s v="Counted"/>
  </r>
  <r>
    <s v="FLP686"/>
    <d v="2026-10-31T00:00:00"/>
    <x v="0"/>
    <x v="3"/>
    <s v="CUST-980"/>
    <s v="Curtain Set"/>
    <x v="2"/>
    <n v="1"/>
    <n v="2200"/>
    <x v="3"/>
    <x v="1"/>
    <n v="2200"/>
    <s v="Counted"/>
  </r>
  <r>
    <s v="FLP687"/>
    <d v="2026-10-31T00:00:00"/>
    <x v="0"/>
    <x v="1"/>
    <s v="CUST-1019"/>
    <s v="Sony Headphones"/>
    <x v="0"/>
    <n v="1"/>
    <n v="9500"/>
    <x v="2"/>
    <x v="1"/>
    <n v="9500"/>
    <s v="Counted"/>
  </r>
  <r>
    <s v="FLP688"/>
    <d v="2026-10-31T00:00:00"/>
    <x v="0"/>
    <x v="3"/>
    <s v="CUST-952"/>
    <s v="Puma Running Shoes"/>
    <x v="3"/>
    <n v="1"/>
    <n v="3500"/>
    <x v="2"/>
    <x v="0"/>
    <n v="3500"/>
    <s v="Counted"/>
  </r>
  <r>
    <s v="FLP689"/>
    <d v="2026-10-31T00:00:00"/>
    <x v="0"/>
    <x v="1"/>
    <s v="CUST-996"/>
    <s v="Ergonomic Office Chair"/>
    <x v="1"/>
    <n v="1"/>
    <n v="12000"/>
    <x v="0"/>
    <x v="0"/>
    <n v="12000"/>
    <s v="Counted"/>
  </r>
  <r>
    <s v="FLP690"/>
    <d v="2026-11-01T00:00:00"/>
    <x v="1"/>
    <x v="2"/>
    <s v="CUST-922"/>
    <s v="Puma Running Shoes"/>
    <x v="3"/>
    <n v="2"/>
    <n v="3500"/>
    <x v="2"/>
    <x v="0"/>
    <n v="7000"/>
    <s v="Counted"/>
  </r>
  <r>
    <s v="FLP691"/>
    <d v="2026-11-01T00:00:00"/>
    <x v="1"/>
    <x v="1"/>
    <s v="CUST-924"/>
    <s v="Puma Running Shoes"/>
    <x v="3"/>
    <n v="1"/>
    <n v="3500"/>
    <x v="3"/>
    <x v="0"/>
    <n v="3500"/>
    <s v="Counted"/>
  </r>
  <r>
    <s v="FLP692"/>
    <d v="2026-11-01T00:00:00"/>
    <x v="1"/>
    <x v="0"/>
    <s v="CUST-1007"/>
    <s v="Curtain Set"/>
    <x v="2"/>
    <n v="2"/>
    <n v="2200"/>
    <x v="1"/>
    <x v="0"/>
    <n v="4400"/>
    <s v="Counted"/>
  </r>
  <r>
    <s v="FLP693"/>
    <d v="2026-11-01T00:00:00"/>
    <x v="1"/>
    <x v="0"/>
    <s v="CUST-996"/>
    <s v="Lenovo Tablet"/>
    <x v="0"/>
    <n v="1"/>
    <n v="18000"/>
    <x v="1"/>
    <x v="0"/>
    <n v="18000"/>
    <s v="Counted"/>
  </r>
  <r>
    <s v="FLP694"/>
    <d v="2026-11-01T00:00:00"/>
    <x v="1"/>
    <x v="2"/>
    <s v="CUST-938"/>
    <s v="Mi Smart TV 43"/>
    <x v="0"/>
    <n v="1"/>
    <n v="24000"/>
    <x v="1"/>
    <x v="0"/>
    <n v="24000"/>
    <s v="Counted"/>
  </r>
  <r>
    <s v="FLP695"/>
    <d v="2026-11-01T00:00:00"/>
    <x v="1"/>
    <x v="3"/>
    <s v="CUST-1095"/>
    <s v="Table Lamp"/>
    <x v="2"/>
    <n v="1"/>
    <n v="1800"/>
    <x v="4"/>
    <x v="0"/>
    <n v="1800"/>
    <s v="Counted"/>
  </r>
  <r>
    <s v="FLP696"/>
    <d v="2026-11-01T00:00:00"/>
    <x v="1"/>
    <x v="0"/>
    <s v="CUST-966"/>
    <s v="Apple iPhone 15"/>
    <x v="0"/>
    <n v="2"/>
    <n v="65000"/>
    <x v="1"/>
    <x v="0"/>
    <n v="130000"/>
    <s v="Counted"/>
  </r>
  <r>
    <s v="FLP697"/>
    <d v="2026-11-01T00:00:00"/>
    <x v="1"/>
    <x v="1"/>
    <s v="CUST-929"/>
    <s v="LG Microwave Oven"/>
    <x v="4"/>
    <n v="1"/>
    <n v="12500"/>
    <x v="2"/>
    <x v="0"/>
    <n v="12500"/>
    <s v="Counted"/>
  </r>
  <r>
    <s v="FLP698"/>
    <d v="2026-11-01T00:00:00"/>
    <x v="1"/>
    <x v="1"/>
    <s v="CUST-1064"/>
    <s v="Mi Smart TV 43"/>
    <x v="0"/>
    <n v="1"/>
    <n v="24000"/>
    <x v="2"/>
    <x v="0"/>
    <n v="24000"/>
    <s v="Counted"/>
  </r>
  <r>
    <s v="FLP699"/>
    <d v="2026-11-01T00:00:00"/>
    <x v="1"/>
    <x v="1"/>
    <s v="CUST-1053"/>
    <s v="Mi Smart TV 43"/>
    <x v="0"/>
    <n v="1"/>
    <n v="24000"/>
    <x v="0"/>
    <x v="0"/>
    <n v="24000"/>
    <s v="Counted"/>
  </r>
  <r>
    <s v="FLP700"/>
    <d v="2026-11-02T00:00:00"/>
    <x v="1"/>
    <x v="3"/>
    <s v="CUST-975"/>
    <s v="Levis Jeans"/>
    <x v="3"/>
    <n v="1"/>
    <n v="2800"/>
    <x v="0"/>
    <x v="0"/>
    <n v="2800"/>
    <s v="Counted"/>
  </r>
  <r>
    <s v="FLP701"/>
    <d v="2026-11-02T00:00:00"/>
    <x v="1"/>
    <x v="3"/>
    <s v="CUST-1071"/>
    <s v="Lenovo Tablet"/>
    <x v="0"/>
    <n v="1"/>
    <n v="18000"/>
    <x v="4"/>
    <x v="0"/>
    <n v="18000"/>
    <s v="Counted"/>
  </r>
  <r>
    <s v="FLP702"/>
    <d v="2026-11-02T00:00:00"/>
    <x v="1"/>
    <x v="0"/>
    <s v="CUST-1000"/>
    <s v="Bookshelf Rack"/>
    <x v="1"/>
    <n v="1"/>
    <n v="6500"/>
    <x v="3"/>
    <x v="0"/>
    <n v="6500"/>
    <s v="Counted"/>
  </r>
  <r>
    <s v="FLP703"/>
    <d v="2026-11-02T00:00:00"/>
    <x v="1"/>
    <x v="2"/>
    <s v="CUST-1092"/>
    <s v="King Size Bed Sheet"/>
    <x v="2"/>
    <n v="3"/>
    <n v="2400"/>
    <x v="1"/>
    <x v="1"/>
    <n v="7200"/>
    <s v="Counted"/>
  </r>
  <r>
    <s v="FLP704"/>
    <d v="2026-11-02T00:00:00"/>
    <x v="1"/>
    <x v="0"/>
    <s v="CUST-1098"/>
    <s v="Bookshelf Rack"/>
    <x v="1"/>
    <n v="1"/>
    <n v="6500"/>
    <x v="4"/>
    <x v="1"/>
    <n v="6500"/>
    <s v="Counted"/>
  </r>
  <r>
    <s v="FLP705"/>
    <d v="2026-11-02T00:00:00"/>
    <x v="1"/>
    <x v="2"/>
    <s v="CUST-1065"/>
    <s v="HP Pavilion Laptop"/>
    <x v="0"/>
    <n v="1"/>
    <n v="52000"/>
    <x v="1"/>
    <x v="1"/>
    <n v="52000"/>
    <s v="Counted"/>
  </r>
  <r>
    <s v="FLP706"/>
    <d v="2026-11-02T00:00:00"/>
    <x v="1"/>
    <x v="1"/>
    <s v="CUST-1062"/>
    <s v="Curtain Set"/>
    <x v="2"/>
    <n v="3"/>
    <n v="2200"/>
    <x v="1"/>
    <x v="0"/>
    <n v="6600"/>
    <s v="Counted"/>
  </r>
  <r>
    <s v="FLP707"/>
    <d v="2026-11-02T00:00:00"/>
    <x v="1"/>
    <x v="1"/>
    <s v="CUST-910"/>
    <s v="Prestige Mixer Grinder"/>
    <x v="4"/>
    <n v="2"/>
    <n v="3800"/>
    <x v="1"/>
    <x v="0"/>
    <n v="7600"/>
    <s v="Counted"/>
  </r>
  <r>
    <s v="FLP708"/>
    <d v="2026-11-02T00:00:00"/>
    <x v="1"/>
    <x v="2"/>
    <s v="CUST-980"/>
    <s v="Sony Headphones"/>
    <x v="0"/>
    <n v="2"/>
    <n v="9500"/>
    <x v="0"/>
    <x v="3"/>
    <n v="19000"/>
    <s v="Not Counted"/>
  </r>
  <r>
    <s v="FLP709"/>
    <d v="2026-11-03T00:00:00"/>
    <x v="1"/>
    <x v="0"/>
    <s v="CUST-1093"/>
    <s v="Adidas Sports Jacket"/>
    <x v="3"/>
    <n v="1"/>
    <n v="5000"/>
    <x v="4"/>
    <x v="0"/>
    <n v="5000"/>
    <s v="Counted"/>
  </r>
  <r>
    <s v="FLP710"/>
    <d v="2026-11-03T00:00:00"/>
    <x v="1"/>
    <x v="2"/>
    <s v="CUST-970"/>
    <s v="Dyson Vacuum Cleaner"/>
    <x v="4"/>
    <n v="1"/>
    <n v="22000"/>
    <x v="1"/>
    <x v="0"/>
    <n v="22000"/>
    <s v="Counted"/>
  </r>
  <r>
    <s v="FLP711"/>
    <d v="2026-11-03T00:00:00"/>
    <x v="1"/>
    <x v="1"/>
    <s v="CUST-987"/>
    <s v="King Size Bed Sheet"/>
    <x v="2"/>
    <n v="2"/>
    <n v="2400"/>
    <x v="3"/>
    <x v="0"/>
    <n v="4800"/>
    <s v="Counted"/>
  </r>
  <r>
    <s v="FLP712"/>
    <d v="2026-11-03T00:00:00"/>
    <x v="1"/>
    <x v="2"/>
    <s v="CUST-922"/>
    <s v="Table Lamp"/>
    <x v="2"/>
    <n v="1"/>
    <n v="1800"/>
    <x v="2"/>
    <x v="0"/>
    <n v="1800"/>
    <s v="Counted"/>
  </r>
  <r>
    <s v="FLP713"/>
    <d v="2026-11-03T00:00:00"/>
    <x v="1"/>
    <x v="3"/>
    <s v="CUST-1040"/>
    <s v="Nike T-Shirt"/>
    <x v="3"/>
    <n v="3"/>
    <n v="1600"/>
    <x v="1"/>
    <x v="0"/>
    <n v="4800"/>
    <s v="Counted"/>
  </r>
  <r>
    <s v="FLP714"/>
    <d v="2026-11-03T00:00:00"/>
    <x v="1"/>
    <x v="2"/>
    <s v="CUST-1015"/>
    <s v="3-Seater Sofa"/>
    <x v="1"/>
    <n v="1"/>
    <n v="28000"/>
    <x v="4"/>
    <x v="0"/>
    <n v="28000"/>
    <s v="Counted"/>
  </r>
  <r>
    <s v="FLP715"/>
    <d v="2026-11-03T00:00:00"/>
    <x v="1"/>
    <x v="1"/>
    <s v="CUST-911"/>
    <s v="Prestige Mixer Grinder"/>
    <x v="4"/>
    <n v="1"/>
    <n v="3800"/>
    <x v="2"/>
    <x v="2"/>
    <n v="3800"/>
    <s v="Not Counted"/>
  </r>
  <r>
    <s v="FLP716"/>
    <d v="2026-11-04T00:00:00"/>
    <x v="1"/>
    <x v="2"/>
    <s v="CUST-1064"/>
    <s v="Nike T-Shirt"/>
    <x v="3"/>
    <n v="3"/>
    <n v="1600"/>
    <x v="3"/>
    <x v="3"/>
    <n v="4800"/>
    <s v="Not Counted"/>
  </r>
  <r>
    <s v="FLP717"/>
    <d v="2026-11-04T00:00:00"/>
    <x v="1"/>
    <x v="1"/>
    <s v="CUST-994"/>
    <s v="OnePlus 12"/>
    <x v="0"/>
    <n v="1"/>
    <n v="58000"/>
    <x v="0"/>
    <x v="1"/>
    <n v="58000"/>
    <s v="Counted"/>
  </r>
  <r>
    <s v="FLP718"/>
    <d v="2026-11-04T00:00:00"/>
    <x v="1"/>
    <x v="3"/>
    <s v="CUST-1056"/>
    <s v="Boat Airdopes"/>
    <x v="0"/>
    <n v="3"/>
    <n v="1800"/>
    <x v="4"/>
    <x v="0"/>
    <n v="5400"/>
    <s v="Counted"/>
  </r>
  <r>
    <s v="FLP719"/>
    <d v="2026-11-04T00:00:00"/>
    <x v="1"/>
    <x v="2"/>
    <s v="CUST-993"/>
    <s v="HP Pavilion Laptop"/>
    <x v="0"/>
    <n v="1"/>
    <n v="52000"/>
    <x v="0"/>
    <x v="0"/>
    <n v="52000"/>
    <s v="Counted"/>
  </r>
  <r>
    <s v="FLP720"/>
    <d v="2026-11-04T00:00:00"/>
    <x v="1"/>
    <x v="1"/>
    <s v="CUST-995"/>
    <s v="Nike T-Shirt"/>
    <x v="3"/>
    <n v="1"/>
    <n v="1600"/>
    <x v="0"/>
    <x v="1"/>
    <n v="1600"/>
    <s v="Counted"/>
  </r>
  <r>
    <s v="FLP721"/>
    <d v="2026-11-04T00:00:00"/>
    <x v="1"/>
    <x v="2"/>
    <s v="CUST-1002"/>
    <s v="Levis Jeans"/>
    <x v="3"/>
    <n v="1"/>
    <n v="2800"/>
    <x v="1"/>
    <x v="0"/>
    <n v="2800"/>
    <s v="Counted"/>
  </r>
  <r>
    <s v="FLP722"/>
    <d v="2026-11-04T00:00:00"/>
    <x v="1"/>
    <x v="3"/>
    <s v="CUST-1028"/>
    <s v="Mi Smart TV 43"/>
    <x v="0"/>
    <n v="1"/>
    <n v="24000"/>
    <x v="0"/>
    <x v="2"/>
    <n v="24000"/>
    <s v="Not Counted"/>
  </r>
  <r>
    <s v="FLP723"/>
    <d v="2026-11-04T00:00:00"/>
    <x v="1"/>
    <x v="2"/>
    <s v="CUST-1081"/>
    <s v="Mi Smart TV 43"/>
    <x v="0"/>
    <n v="1"/>
    <n v="24000"/>
    <x v="0"/>
    <x v="3"/>
    <n v="24000"/>
    <s v="Not Counted"/>
  </r>
  <r>
    <s v="FLP724"/>
    <d v="2026-11-05T00:00:00"/>
    <x v="1"/>
    <x v="1"/>
    <s v="CUST-952"/>
    <s v="Wooden Study Table"/>
    <x v="1"/>
    <n v="1"/>
    <n v="9500"/>
    <x v="1"/>
    <x v="2"/>
    <n v="9500"/>
    <s v="Not Counted"/>
  </r>
  <r>
    <s v="FLP725"/>
    <d v="2026-11-05T00:00:00"/>
    <x v="1"/>
    <x v="1"/>
    <s v="CUST-923"/>
    <s v="Curtain Set"/>
    <x v="2"/>
    <n v="1"/>
    <n v="2200"/>
    <x v="2"/>
    <x v="3"/>
    <n v="2200"/>
    <s v="Not Counted"/>
  </r>
  <r>
    <s v="FLP726"/>
    <d v="2026-11-05T00:00:00"/>
    <x v="1"/>
    <x v="0"/>
    <s v="CUST-1041"/>
    <s v="3-Seater Sofa"/>
    <x v="1"/>
    <n v="1"/>
    <n v="28000"/>
    <x v="0"/>
    <x v="2"/>
    <n v="28000"/>
    <s v="Not Counted"/>
  </r>
  <r>
    <s v="FLP727"/>
    <d v="2026-11-05T00:00:00"/>
    <x v="1"/>
    <x v="3"/>
    <s v="CUST-993"/>
    <s v="Boat Airdopes"/>
    <x v="0"/>
    <n v="2"/>
    <n v="1800"/>
    <x v="0"/>
    <x v="0"/>
    <n v="3600"/>
    <s v="Counted"/>
  </r>
  <r>
    <s v="FLP728"/>
    <d v="2026-11-05T00:00:00"/>
    <x v="1"/>
    <x v="3"/>
    <s v="CUST-1027"/>
    <s v="Sony Headphones"/>
    <x v="0"/>
    <n v="2"/>
    <n v="9500"/>
    <x v="1"/>
    <x v="0"/>
    <n v="19000"/>
    <s v="Counted"/>
  </r>
  <r>
    <s v="FLP729"/>
    <d v="2026-11-05T00:00:00"/>
    <x v="1"/>
    <x v="3"/>
    <s v="CUST-1057"/>
    <s v="Bookshelf Rack"/>
    <x v="1"/>
    <n v="1"/>
    <n v="6500"/>
    <x v="3"/>
    <x v="0"/>
    <n v="6500"/>
    <s v="Counted"/>
  </r>
  <r>
    <s v="FLP730"/>
    <d v="2026-11-05T00:00:00"/>
    <x v="1"/>
    <x v="1"/>
    <s v="CUST-1035"/>
    <s v="King Size Bed Sheet"/>
    <x v="2"/>
    <n v="3"/>
    <n v="2400"/>
    <x v="0"/>
    <x v="0"/>
    <n v="7200"/>
    <s v="Counted"/>
  </r>
  <r>
    <s v="FLP731"/>
    <d v="2026-11-05T00:00:00"/>
    <x v="1"/>
    <x v="2"/>
    <s v="CUST-1065"/>
    <s v="Levis Jeans"/>
    <x v="3"/>
    <n v="1"/>
    <n v="2800"/>
    <x v="1"/>
    <x v="0"/>
    <n v="2800"/>
    <s v="Counted"/>
  </r>
  <r>
    <s v="FLP732"/>
    <d v="2026-11-05T00:00:00"/>
    <x v="1"/>
    <x v="3"/>
    <s v="CUST-1097"/>
    <s v="Puma Running Shoes"/>
    <x v="3"/>
    <n v="1"/>
    <n v="3500"/>
    <x v="3"/>
    <x v="0"/>
    <n v="3500"/>
    <s v="Counted"/>
  </r>
  <r>
    <s v="FLP733"/>
    <d v="2026-11-05T00:00:00"/>
    <x v="1"/>
    <x v="3"/>
    <s v="CUST-978"/>
    <s v="Samsung Galaxy S24"/>
    <x v="0"/>
    <n v="1"/>
    <n v="62000"/>
    <x v="1"/>
    <x v="0"/>
    <n v="62000"/>
    <s v="Counted"/>
  </r>
  <r>
    <s v="FLP734"/>
    <d v="2026-11-05T00:00:00"/>
    <x v="1"/>
    <x v="2"/>
    <s v="CUST-921"/>
    <s v="Prestige Mixer Grinder"/>
    <x v="4"/>
    <n v="1"/>
    <n v="3800"/>
    <x v="1"/>
    <x v="0"/>
    <n v="3800"/>
    <s v="Counted"/>
  </r>
  <r>
    <s v="FLP735"/>
    <d v="2026-11-05T00:00:00"/>
    <x v="1"/>
    <x v="2"/>
    <s v="CUST-1058"/>
    <s v="Adidas Sports Jacket"/>
    <x v="3"/>
    <n v="1"/>
    <n v="5000"/>
    <x v="0"/>
    <x v="0"/>
    <n v="5000"/>
    <s v="Counted"/>
  </r>
  <r>
    <s v="FLP736"/>
    <d v="2026-11-05T00:00:00"/>
    <x v="1"/>
    <x v="3"/>
    <s v="CUST-944"/>
    <s v="Boat Airdopes"/>
    <x v="0"/>
    <n v="1"/>
    <n v="1800"/>
    <x v="4"/>
    <x v="1"/>
    <n v="1800"/>
    <s v="Counted"/>
  </r>
  <r>
    <s v="FLP737"/>
    <d v="2026-11-06T00:00:00"/>
    <x v="1"/>
    <x v="0"/>
    <s v="CUST-908"/>
    <s v="Nike T-Shirt"/>
    <x v="3"/>
    <n v="1"/>
    <n v="1600"/>
    <x v="1"/>
    <x v="3"/>
    <n v="1600"/>
    <s v="Not Counted"/>
  </r>
  <r>
    <s v="FLP738"/>
    <d v="2026-11-06T00:00:00"/>
    <x v="1"/>
    <x v="3"/>
    <s v="CUST-1097"/>
    <s v="Dyson Vacuum Cleaner"/>
    <x v="4"/>
    <n v="1"/>
    <n v="22000"/>
    <x v="4"/>
    <x v="0"/>
    <n v="22000"/>
    <s v="Counted"/>
  </r>
  <r>
    <s v="FLP739"/>
    <d v="2026-11-06T00:00:00"/>
    <x v="1"/>
    <x v="2"/>
    <s v="CUST-1065"/>
    <s v="Apple iPhone 15"/>
    <x v="0"/>
    <n v="1"/>
    <n v="65000"/>
    <x v="3"/>
    <x v="0"/>
    <n v="65000"/>
    <s v="Counted"/>
  </r>
  <r>
    <s v="FLP740"/>
    <d v="2026-11-07T00:00:00"/>
    <x v="1"/>
    <x v="1"/>
    <s v="CUST-919"/>
    <s v="Philips Air Fryer"/>
    <x v="4"/>
    <n v="1"/>
    <n v="8500"/>
    <x v="4"/>
    <x v="0"/>
    <n v="8500"/>
    <s v="Counted"/>
  </r>
  <r>
    <s v="FLP741"/>
    <d v="2026-11-07T00:00:00"/>
    <x v="1"/>
    <x v="3"/>
    <s v="CUST-988"/>
    <s v="Wall Clock"/>
    <x v="2"/>
    <n v="1"/>
    <n v="1500"/>
    <x v="4"/>
    <x v="0"/>
    <n v="1500"/>
    <s v="Counted"/>
  </r>
  <r>
    <s v="FLP742"/>
    <d v="2026-11-07T00:00:00"/>
    <x v="1"/>
    <x v="2"/>
    <s v="CUST-1003"/>
    <s v="Prestige Mixer Grinder"/>
    <x v="4"/>
    <n v="1"/>
    <n v="3800"/>
    <x v="1"/>
    <x v="0"/>
    <n v="3800"/>
    <s v="Counted"/>
  </r>
  <r>
    <s v="FLP743"/>
    <d v="2026-11-07T00:00:00"/>
    <x v="1"/>
    <x v="3"/>
    <s v="CUST-1020"/>
    <s v="Adidas Sports Jacket"/>
    <x v="3"/>
    <n v="1"/>
    <n v="5000"/>
    <x v="1"/>
    <x v="0"/>
    <n v="5000"/>
    <s v="Counted"/>
  </r>
  <r>
    <s v="FLP744"/>
    <d v="2026-11-07T00:00:00"/>
    <x v="1"/>
    <x v="2"/>
    <s v="CUST-999"/>
    <s v="HP Pavilion Laptop"/>
    <x v="0"/>
    <n v="1"/>
    <n v="52000"/>
    <x v="3"/>
    <x v="0"/>
    <n v="52000"/>
    <s v="Counted"/>
  </r>
  <r>
    <s v="FLP745"/>
    <d v="2026-11-07T00:00:00"/>
    <x v="1"/>
    <x v="2"/>
    <s v="CUST-949"/>
    <s v="Boat Airdopes"/>
    <x v="0"/>
    <n v="2"/>
    <n v="1800"/>
    <x v="2"/>
    <x v="0"/>
    <n v="3600"/>
    <s v="Counted"/>
  </r>
  <r>
    <s v="FLP746"/>
    <d v="2026-11-07T00:00:00"/>
    <x v="1"/>
    <x v="2"/>
    <s v="CUST-1028"/>
    <s v="Puma Running Shoes"/>
    <x v="3"/>
    <n v="1"/>
    <n v="3500"/>
    <x v="1"/>
    <x v="3"/>
    <n v="3500"/>
    <s v="Not Counted"/>
  </r>
  <r>
    <s v="FLP747"/>
    <d v="2026-11-07T00:00:00"/>
    <x v="1"/>
    <x v="3"/>
    <s v="CUST-956"/>
    <s v="Puma Running Shoes"/>
    <x v="3"/>
    <n v="1"/>
    <n v="3500"/>
    <x v="4"/>
    <x v="0"/>
    <n v="3500"/>
    <s v="Counted"/>
  </r>
  <r>
    <s v="FLP748"/>
    <d v="2026-11-07T00:00:00"/>
    <x v="1"/>
    <x v="1"/>
    <s v="CUST-974"/>
    <s v="Wooden Study Table"/>
    <x v="1"/>
    <n v="1"/>
    <n v="9500"/>
    <x v="0"/>
    <x v="2"/>
    <n v="9500"/>
    <s v="Not Counted"/>
  </r>
  <r>
    <s v="FLP749"/>
    <d v="2026-11-07T00:00:00"/>
    <x v="1"/>
    <x v="2"/>
    <s v="CUST-1087"/>
    <s v="Wall Clock"/>
    <x v="2"/>
    <n v="1"/>
    <n v="1500"/>
    <x v="0"/>
    <x v="0"/>
    <n v="1500"/>
    <s v="Counted"/>
  </r>
  <r>
    <s v="FLP750"/>
    <d v="2026-11-07T00:00:00"/>
    <x v="1"/>
    <x v="3"/>
    <s v="CUST-993"/>
    <s v="Samsung Galaxy S24"/>
    <x v="0"/>
    <n v="1"/>
    <n v="62000"/>
    <x v="0"/>
    <x v="0"/>
    <n v="62000"/>
    <s v="Counted"/>
  </r>
  <r>
    <s v="FLP751"/>
    <d v="2026-11-07T00:00:00"/>
    <x v="1"/>
    <x v="2"/>
    <s v="CUST-1060"/>
    <s v="Puma Running Shoes"/>
    <x v="3"/>
    <n v="1"/>
    <n v="3500"/>
    <x v="4"/>
    <x v="0"/>
    <n v="3500"/>
    <s v="Counted"/>
  </r>
  <r>
    <s v="FLP752"/>
    <d v="2026-11-07T00:00:00"/>
    <x v="1"/>
    <x v="2"/>
    <s v="CUST-1043"/>
    <s v="Mi Smart TV 43"/>
    <x v="0"/>
    <n v="1"/>
    <n v="24000"/>
    <x v="3"/>
    <x v="1"/>
    <n v="24000"/>
    <s v="Counted"/>
  </r>
  <r>
    <s v="FLP753"/>
    <d v="2026-11-07T00:00:00"/>
    <x v="1"/>
    <x v="1"/>
    <s v="CUST-1029"/>
    <s v="Sony Headphones"/>
    <x v="0"/>
    <n v="1"/>
    <n v="9500"/>
    <x v="1"/>
    <x v="0"/>
    <n v="9500"/>
    <s v="Counted"/>
  </r>
  <r>
    <s v="FLP754"/>
    <d v="2026-11-08T00:00:00"/>
    <x v="1"/>
    <x v="1"/>
    <s v="CUST-1033"/>
    <s v="Prestige Mixer Grinder"/>
    <x v="4"/>
    <n v="1"/>
    <n v="3800"/>
    <x v="0"/>
    <x v="0"/>
    <n v="3800"/>
    <s v="Counted"/>
  </r>
  <r>
    <s v="FLP755"/>
    <d v="2026-11-08T00:00:00"/>
    <x v="1"/>
    <x v="2"/>
    <s v="CUST-942"/>
    <s v="Puma Running Shoes"/>
    <x v="3"/>
    <n v="1"/>
    <n v="3500"/>
    <x v="0"/>
    <x v="0"/>
    <n v="3500"/>
    <s v="Counted"/>
  </r>
  <r>
    <s v="FLP756"/>
    <d v="2026-11-08T00:00:00"/>
    <x v="1"/>
    <x v="1"/>
    <s v="CUST-1082"/>
    <s v="Wooden Study Table"/>
    <x v="1"/>
    <n v="1"/>
    <n v="9500"/>
    <x v="0"/>
    <x v="0"/>
    <n v="9500"/>
    <s v="Counted"/>
  </r>
  <r>
    <s v="FLP757"/>
    <d v="2026-11-08T00:00:00"/>
    <x v="1"/>
    <x v="0"/>
    <s v="CUST-1007"/>
    <s v="Apple iPhone 15"/>
    <x v="0"/>
    <n v="1"/>
    <n v="65000"/>
    <x v="4"/>
    <x v="1"/>
    <n v="65000"/>
    <s v="Counted"/>
  </r>
  <r>
    <s v="FLP758"/>
    <d v="2026-11-08T00:00:00"/>
    <x v="1"/>
    <x v="0"/>
    <s v="CUST-1053"/>
    <s v="LG Microwave Oven"/>
    <x v="4"/>
    <n v="1"/>
    <n v="12500"/>
    <x v="0"/>
    <x v="3"/>
    <n v="12500"/>
    <s v="Not Counted"/>
  </r>
  <r>
    <s v="FLP759"/>
    <d v="2026-11-08T00:00:00"/>
    <x v="1"/>
    <x v="3"/>
    <s v="CUST-1085"/>
    <s v="Dyson Vacuum Cleaner"/>
    <x v="4"/>
    <n v="1"/>
    <n v="22000"/>
    <x v="1"/>
    <x v="0"/>
    <n v="22000"/>
    <s v="Counted"/>
  </r>
  <r>
    <s v="FLP760"/>
    <d v="2026-11-09T00:00:00"/>
    <x v="1"/>
    <x v="1"/>
    <s v="CUST-938"/>
    <s v="Puma Running Shoes"/>
    <x v="3"/>
    <n v="1"/>
    <n v="3500"/>
    <x v="3"/>
    <x v="0"/>
    <n v="3500"/>
    <s v="Counted"/>
  </r>
  <r>
    <s v="FLP761"/>
    <d v="2026-11-09T00:00:00"/>
    <x v="1"/>
    <x v="0"/>
    <s v="CUST-949"/>
    <s v="Levis Jeans"/>
    <x v="3"/>
    <n v="3"/>
    <n v="2800"/>
    <x v="1"/>
    <x v="0"/>
    <n v="8400"/>
    <s v="Counted"/>
  </r>
  <r>
    <s v="FLP762"/>
    <d v="2026-11-09T00:00:00"/>
    <x v="1"/>
    <x v="3"/>
    <s v="CUST-1006"/>
    <s v="HP Pavilion Laptop"/>
    <x v="0"/>
    <n v="1"/>
    <n v="52000"/>
    <x v="0"/>
    <x v="0"/>
    <n v="52000"/>
    <s v="Counted"/>
  </r>
  <r>
    <s v="FLP763"/>
    <d v="2026-11-09T00:00:00"/>
    <x v="1"/>
    <x v="0"/>
    <s v="CUST-1081"/>
    <s v="Table Lamp"/>
    <x v="2"/>
    <n v="2"/>
    <n v="1800"/>
    <x v="1"/>
    <x v="0"/>
    <n v="3600"/>
    <s v="Counted"/>
  </r>
  <r>
    <s v="FLP764"/>
    <d v="2026-11-09T00:00:00"/>
    <x v="1"/>
    <x v="1"/>
    <s v="CUST-1035"/>
    <s v="3-Seater Sofa"/>
    <x v="1"/>
    <n v="2"/>
    <n v="28000"/>
    <x v="0"/>
    <x v="3"/>
    <n v="56000"/>
    <s v="Not Counted"/>
  </r>
  <r>
    <s v="FLP765"/>
    <d v="2026-11-09T00:00:00"/>
    <x v="1"/>
    <x v="2"/>
    <s v="CUST-1040"/>
    <s v="Curtain Set"/>
    <x v="2"/>
    <n v="2"/>
    <n v="2200"/>
    <x v="0"/>
    <x v="1"/>
    <n v="4400"/>
    <s v="Counted"/>
  </r>
  <r>
    <s v="FLP766"/>
    <d v="2026-11-09T00:00:00"/>
    <x v="1"/>
    <x v="2"/>
    <s v="CUST-1057"/>
    <s v="LG Microwave Oven"/>
    <x v="4"/>
    <n v="1"/>
    <n v="12500"/>
    <x v="0"/>
    <x v="3"/>
    <n v="12500"/>
    <s v="Not Counted"/>
  </r>
  <r>
    <s v="FLP767"/>
    <d v="2026-11-09T00:00:00"/>
    <x v="1"/>
    <x v="3"/>
    <s v="CUST-977"/>
    <s v="Ergonomic Office Chair"/>
    <x v="1"/>
    <n v="1"/>
    <n v="12000"/>
    <x v="2"/>
    <x v="1"/>
    <n v="12000"/>
    <s v="Counted"/>
  </r>
  <r>
    <s v="FLP768"/>
    <d v="2026-11-09T00:00:00"/>
    <x v="1"/>
    <x v="2"/>
    <s v="CUST-1023"/>
    <s v="Prestige Mixer Grinder"/>
    <x v="4"/>
    <n v="2"/>
    <n v="3800"/>
    <x v="1"/>
    <x v="3"/>
    <n v="7600"/>
    <s v="Not Counted"/>
  </r>
  <r>
    <s v="FLP769"/>
    <d v="2026-11-10T00:00:00"/>
    <x v="1"/>
    <x v="0"/>
    <s v="CUST-1047"/>
    <s v="LG Microwave Oven"/>
    <x v="4"/>
    <n v="1"/>
    <n v="12500"/>
    <x v="4"/>
    <x v="0"/>
    <n v="12500"/>
    <s v="Counted"/>
  </r>
  <r>
    <s v="FLP770"/>
    <d v="2026-11-10T00:00:00"/>
    <x v="1"/>
    <x v="3"/>
    <s v="CUST-975"/>
    <s v="King Size Bed Sheet"/>
    <x v="2"/>
    <n v="2"/>
    <n v="2400"/>
    <x v="1"/>
    <x v="3"/>
    <n v="4800"/>
    <s v="Not Counted"/>
  </r>
  <r>
    <s v="FLP771"/>
    <d v="2026-11-10T00:00:00"/>
    <x v="1"/>
    <x v="1"/>
    <s v="CUST-1068"/>
    <s v="OnePlus 12"/>
    <x v="0"/>
    <n v="1"/>
    <n v="58000"/>
    <x v="1"/>
    <x v="0"/>
    <n v="58000"/>
    <s v="Counted"/>
  </r>
  <r>
    <s v="FLP772"/>
    <d v="2026-11-10T00:00:00"/>
    <x v="1"/>
    <x v="2"/>
    <s v="CUST-1044"/>
    <s v="Sony Headphones"/>
    <x v="0"/>
    <n v="2"/>
    <n v="9500"/>
    <x v="4"/>
    <x v="0"/>
    <n v="19000"/>
    <s v="Counted"/>
  </r>
  <r>
    <s v="FLP773"/>
    <d v="2026-11-10T00:00:00"/>
    <x v="1"/>
    <x v="3"/>
    <s v="CUST-963"/>
    <s v="Nike T-Shirt"/>
    <x v="3"/>
    <n v="2"/>
    <n v="1600"/>
    <x v="1"/>
    <x v="2"/>
    <n v="3200"/>
    <s v="Not Counted"/>
  </r>
  <r>
    <s v="FLP774"/>
    <d v="2026-11-11T00:00:00"/>
    <x v="1"/>
    <x v="0"/>
    <s v="CUST-926"/>
    <s v="Lenovo Tablet"/>
    <x v="0"/>
    <n v="1"/>
    <n v="18000"/>
    <x v="0"/>
    <x v="1"/>
    <n v="18000"/>
    <s v="Counted"/>
  </r>
  <r>
    <s v="FLP775"/>
    <d v="2026-11-11T00:00:00"/>
    <x v="1"/>
    <x v="3"/>
    <s v="CUST-902"/>
    <s v="Mi Smart TV 43"/>
    <x v="0"/>
    <n v="1"/>
    <n v="24000"/>
    <x v="3"/>
    <x v="3"/>
    <n v="24000"/>
    <s v="Not Counted"/>
  </r>
  <r>
    <s v="FLP776"/>
    <d v="2026-11-11T00:00:00"/>
    <x v="1"/>
    <x v="1"/>
    <s v="CUST-1023"/>
    <s v="Boat Airdopes"/>
    <x v="0"/>
    <n v="1"/>
    <n v="1800"/>
    <x v="4"/>
    <x v="1"/>
    <n v="1800"/>
    <s v="Counted"/>
  </r>
  <r>
    <s v="FLP777"/>
    <d v="2026-11-11T00:00:00"/>
    <x v="1"/>
    <x v="0"/>
    <s v="CUST-1097"/>
    <s v="Wooden Study Table"/>
    <x v="1"/>
    <n v="1"/>
    <n v="9500"/>
    <x v="1"/>
    <x v="0"/>
    <n v="9500"/>
    <s v="Counted"/>
  </r>
  <r>
    <s v="FLP778"/>
    <d v="2026-11-11T00:00:00"/>
    <x v="1"/>
    <x v="0"/>
    <s v="CUST-945"/>
    <s v="Adidas Sports Jacket"/>
    <x v="3"/>
    <n v="2"/>
    <n v="5000"/>
    <x v="0"/>
    <x v="2"/>
    <n v="10000"/>
    <s v="Not Counted"/>
  </r>
  <r>
    <s v="FLP779"/>
    <d v="2026-11-12T00:00:00"/>
    <x v="1"/>
    <x v="1"/>
    <s v="CUST-1027"/>
    <s v="Samsung Galaxy S24"/>
    <x v="0"/>
    <n v="2"/>
    <n v="62000"/>
    <x v="1"/>
    <x v="1"/>
    <n v="124000"/>
    <s v="Counted"/>
  </r>
  <r>
    <s v="FLP780"/>
    <d v="2026-11-12T00:00:00"/>
    <x v="1"/>
    <x v="0"/>
    <s v="CUST-977"/>
    <s v="Wooden Study Table"/>
    <x v="1"/>
    <n v="2"/>
    <n v="9500"/>
    <x v="0"/>
    <x v="0"/>
    <n v="19000"/>
    <s v="Counted"/>
  </r>
  <r>
    <s v="FLP781"/>
    <d v="2026-11-12T00:00:00"/>
    <x v="1"/>
    <x v="1"/>
    <s v="CUST-935"/>
    <s v="3-Seater Sofa"/>
    <x v="1"/>
    <n v="1"/>
    <n v="28000"/>
    <x v="3"/>
    <x v="0"/>
    <n v="28000"/>
    <s v="Counted"/>
  </r>
  <r>
    <s v="FLP782"/>
    <d v="2026-11-12T00:00:00"/>
    <x v="1"/>
    <x v="2"/>
    <s v="CUST-942"/>
    <s v="Sony Headphones"/>
    <x v="0"/>
    <n v="2"/>
    <n v="9500"/>
    <x v="2"/>
    <x v="0"/>
    <n v="19000"/>
    <s v="Counted"/>
  </r>
  <r>
    <s v="FLP783"/>
    <d v="2026-11-12T00:00:00"/>
    <x v="1"/>
    <x v="2"/>
    <s v="CUST-976"/>
    <s v="Prestige Mixer Grinder"/>
    <x v="4"/>
    <n v="1"/>
    <n v="3800"/>
    <x v="0"/>
    <x v="1"/>
    <n v="3800"/>
    <s v="Counted"/>
  </r>
  <r>
    <s v="FLP784"/>
    <d v="2026-11-12T00:00:00"/>
    <x v="1"/>
    <x v="1"/>
    <s v="CUST-1010"/>
    <s v="Boat Airdopes"/>
    <x v="0"/>
    <n v="1"/>
    <n v="1800"/>
    <x v="0"/>
    <x v="0"/>
    <n v="1800"/>
    <s v="Counted"/>
  </r>
  <r>
    <s v="FLP785"/>
    <d v="2026-11-12T00:00:00"/>
    <x v="1"/>
    <x v="3"/>
    <s v="CUST-1023"/>
    <s v="Philips Air Fryer"/>
    <x v="4"/>
    <n v="1"/>
    <n v="8500"/>
    <x v="1"/>
    <x v="0"/>
    <n v="8500"/>
    <s v="Counted"/>
  </r>
  <r>
    <s v="FLP786"/>
    <d v="2026-11-13T00:00:00"/>
    <x v="1"/>
    <x v="1"/>
    <s v="CUST-1093"/>
    <s v="Ergonomic Office Chair"/>
    <x v="1"/>
    <n v="1"/>
    <n v="12000"/>
    <x v="1"/>
    <x v="0"/>
    <n v="12000"/>
    <s v="Counted"/>
  </r>
  <r>
    <s v="FLP787"/>
    <d v="2026-11-13T00:00:00"/>
    <x v="1"/>
    <x v="0"/>
    <s v="CUST-967"/>
    <s v="Levis Jeans"/>
    <x v="3"/>
    <n v="2"/>
    <n v="2800"/>
    <x v="4"/>
    <x v="1"/>
    <n v="5600"/>
    <s v="Counted"/>
  </r>
  <r>
    <s v="FLP788"/>
    <d v="2026-11-13T00:00:00"/>
    <x v="1"/>
    <x v="1"/>
    <s v="CUST-979"/>
    <s v="Samsung Galaxy S24"/>
    <x v="0"/>
    <n v="1"/>
    <n v="62000"/>
    <x v="1"/>
    <x v="1"/>
    <n v="62000"/>
    <s v="Counted"/>
  </r>
  <r>
    <s v="FLP789"/>
    <d v="2026-11-13T00:00:00"/>
    <x v="1"/>
    <x v="0"/>
    <s v="CUST-1064"/>
    <s v="Prestige Mixer Grinder"/>
    <x v="4"/>
    <n v="2"/>
    <n v="3800"/>
    <x v="3"/>
    <x v="0"/>
    <n v="7600"/>
    <s v="Counted"/>
  </r>
  <r>
    <s v="FLP790"/>
    <d v="2026-11-13T00:00:00"/>
    <x v="1"/>
    <x v="3"/>
    <s v="CUST-1023"/>
    <s v="Nike T-Shirt"/>
    <x v="3"/>
    <n v="1"/>
    <n v="1600"/>
    <x v="1"/>
    <x v="1"/>
    <n v="1600"/>
    <s v="Counted"/>
  </r>
  <r>
    <s v="FLP791"/>
    <d v="2026-11-13T00:00:00"/>
    <x v="1"/>
    <x v="1"/>
    <s v="CUST-1094"/>
    <s v="Nike T-Shirt"/>
    <x v="3"/>
    <n v="1"/>
    <n v="1600"/>
    <x v="0"/>
    <x v="0"/>
    <n v="1600"/>
    <s v="Counted"/>
  </r>
  <r>
    <s v="FLP792"/>
    <d v="2026-11-14T00:00:00"/>
    <x v="1"/>
    <x v="0"/>
    <s v="CUST-1035"/>
    <s v="Sony Headphones"/>
    <x v="0"/>
    <n v="2"/>
    <n v="9500"/>
    <x v="0"/>
    <x v="1"/>
    <n v="19000"/>
    <s v="Counted"/>
  </r>
  <r>
    <s v="FLP793"/>
    <d v="2026-11-14T00:00:00"/>
    <x v="1"/>
    <x v="0"/>
    <s v="CUST-916"/>
    <s v="OnePlus 12"/>
    <x v="0"/>
    <n v="2"/>
    <n v="58000"/>
    <x v="3"/>
    <x v="2"/>
    <n v="116000"/>
    <s v="Not Counted"/>
  </r>
  <r>
    <s v="FLP794"/>
    <d v="2026-11-14T00:00:00"/>
    <x v="1"/>
    <x v="3"/>
    <s v="CUST-943"/>
    <s v="Sony Headphones"/>
    <x v="0"/>
    <n v="1"/>
    <n v="9500"/>
    <x v="1"/>
    <x v="0"/>
    <n v="9500"/>
    <s v="Counted"/>
  </r>
  <r>
    <s v="FLP795"/>
    <d v="2026-11-14T00:00:00"/>
    <x v="1"/>
    <x v="1"/>
    <s v="CUST-924"/>
    <s v="Mi Smart TV 43"/>
    <x v="0"/>
    <n v="1"/>
    <n v="24000"/>
    <x v="3"/>
    <x v="0"/>
    <n v="24000"/>
    <s v="Counted"/>
  </r>
  <r>
    <s v="FLP796"/>
    <d v="2026-11-14T00:00:00"/>
    <x v="1"/>
    <x v="1"/>
    <s v="CUST-1017"/>
    <s v="Samsung Galaxy S24"/>
    <x v="0"/>
    <n v="1"/>
    <n v="62000"/>
    <x v="0"/>
    <x v="0"/>
    <n v="62000"/>
    <s v="Counted"/>
  </r>
  <r>
    <s v="FLP797"/>
    <d v="2026-11-14T00:00:00"/>
    <x v="1"/>
    <x v="0"/>
    <s v="CUST-1002"/>
    <s v="Philips Air Fryer"/>
    <x v="4"/>
    <n v="2"/>
    <n v="8500"/>
    <x v="1"/>
    <x v="0"/>
    <n v="17000"/>
    <s v="Counted"/>
  </r>
  <r>
    <s v="FLP798"/>
    <d v="2026-11-14T00:00:00"/>
    <x v="1"/>
    <x v="0"/>
    <s v="CUST-1009"/>
    <s v="Sony Headphones"/>
    <x v="0"/>
    <n v="1"/>
    <n v="9500"/>
    <x v="1"/>
    <x v="0"/>
    <n v="9500"/>
    <s v="Counted"/>
  </r>
  <r>
    <s v="FLP799"/>
    <d v="2026-11-14T00:00:00"/>
    <x v="1"/>
    <x v="0"/>
    <s v="CUST-1021"/>
    <s v="Samsung Galaxy S24"/>
    <x v="0"/>
    <n v="2"/>
    <n v="62000"/>
    <x v="1"/>
    <x v="0"/>
    <n v="124000"/>
    <s v="Counted"/>
  </r>
  <r>
    <s v="FLP800"/>
    <d v="2026-11-15T00:00:00"/>
    <x v="1"/>
    <x v="1"/>
    <s v="CUST-996"/>
    <s v="Dyson Vacuum Cleaner"/>
    <x v="4"/>
    <n v="1"/>
    <n v="22000"/>
    <x v="3"/>
    <x v="0"/>
    <n v="22000"/>
    <s v="Counted"/>
  </r>
  <r>
    <s v="FLP801"/>
    <d v="2026-11-15T00:00:00"/>
    <x v="1"/>
    <x v="3"/>
    <s v="CUST-1068"/>
    <s v="King Size Bed Sheet"/>
    <x v="2"/>
    <n v="1"/>
    <n v="2400"/>
    <x v="3"/>
    <x v="0"/>
    <n v="2400"/>
    <s v="Counted"/>
  </r>
  <r>
    <s v="FLP802"/>
    <d v="2026-11-15T00:00:00"/>
    <x v="1"/>
    <x v="3"/>
    <s v="CUST-1087"/>
    <s v="Adidas Sports Jacket"/>
    <x v="3"/>
    <n v="1"/>
    <n v="5000"/>
    <x v="3"/>
    <x v="2"/>
    <n v="5000"/>
    <s v="Not Counted"/>
  </r>
  <r>
    <s v="FLP803"/>
    <d v="2026-11-15T00:00:00"/>
    <x v="1"/>
    <x v="2"/>
    <s v="CUST-1019"/>
    <s v="Dyson Vacuum Cleaner"/>
    <x v="4"/>
    <n v="1"/>
    <n v="22000"/>
    <x v="4"/>
    <x v="0"/>
    <n v="22000"/>
    <s v="Counted"/>
  </r>
  <r>
    <s v="FLP804"/>
    <d v="2026-11-16T00:00:00"/>
    <x v="1"/>
    <x v="3"/>
    <s v="CUST-964"/>
    <s v="Adidas Sports Jacket"/>
    <x v="3"/>
    <n v="1"/>
    <n v="5000"/>
    <x v="0"/>
    <x v="0"/>
    <n v="5000"/>
    <s v="Counted"/>
  </r>
  <r>
    <s v="FLP805"/>
    <d v="2026-11-16T00:00:00"/>
    <x v="1"/>
    <x v="0"/>
    <s v="CUST-909"/>
    <s v="Sony Headphones"/>
    <x v="0"/>
    <n v="3"/>
    <n v="9500"/>
    <x v="2"/>
    <x v="0"/>
    <n v="28500"/>
    <s v="Counted"/>
  </r>
  <r>
    <s v="FLP806"/>
    <d v="2026-11-16T00:00:00"/>
    <x v="1"/>
    <x v="0"/>
    <s v="CUST-962"/>
    <s v="Dyson Vacuum Cleaner"/>
    <x v="4"/>
    <n v="2"/>
    <n v="22000"/>
    <x v="1"/>
    <x v="0"/>
    <n v="44000"/>
    <s v="Counted"/>
  </r>
  <r>
    <s v="FLP807"/>
    <d v="2026-11-16T00:00:00"/>
    <x v="1"/>
    <x v="0"/>
    <s v="CUST-963"/>
    <s v="Samsung Galaxy S24"/>
    <x v="0"/>
    <n v="1"/>
    <n v="62000"/>
    <x v="2"/>
    <x v="0"/>
    <n v="62000"/>
    <s v="Counted"/>
  </r>
  <r>
    <s v="FLP808"/>
    <d v="2026-11-16T00:00:00"/>
    <x v="1"/>
    <x v="0"/>
    <s v="CUST-936"/>
    <s v="Lenovo Tablet"/>
    <x v="0"/>
    <n v="1"/>
    <n v="18000"/>
    <x v="0"/>
    <x v="0"/>
    <n v="18000"/>
    <s v="Counted"/>
  </r>
  <r>
    <s v="FLP809"/>
    <d v="2026-11-16T00:00:00"/>
    <x v="1"/>
    <x v="2"/>
    <s v="CUST-961"/>
    <s v="LG Microwave Oven"/>
    <x v="4"/>
    <n v="1"/>
    <n v="12500"/>
    <x v="1"/>
    <x v="0"/>
    <n v="12500"/>
    <s v="Counted"/>
  </r>
  <r>
    <s v="FLP810"/>
    <d v="2026-11-16T00:00:00"/>
    <x v="1"/>
    <x v="1"/>
    <s v="CUST-977"/>
    <s v="Philips Air Fryer"/>
    <x v="4"/>
    <n v="1"/>
    <n v="8500"/>
    <x v="1"/>
    <x v="0"/>
    <n v="8500"/>
    <s v="Counted"/>
  </r>
  <r>
    <s v="FLP811"/>
    <d v="2026-11-17T00:00:00"/>
    <x v="1"/>
    <x v="3"/>
    <s v="CUST-1061"/>
    <s v="Levis Jeans"/>
    <x v="3"/>
    <n v="2"/>
    <n v="2800"/>
    <x v="4"/>
    <x v="0"/>
    <n v="5600"/>
    <s v="Counted"/>
  </r>
  <r>
    <s v="FLP812"/>
    <d v="2026-11-17T00:00:00"/>
    <x v="1"/>
    <x v="1"/>
    <s v="CUST-1035"/>
    <s v="Samsung Galaxy S24"/>
    <x v="0"/>
    <n v="2"/>
    <n v="62000"/>
    <x v="1"/>
    <x v="0"/>
    <n v="124000"/>
    <s v="Counted"/>
  </r>
  <r>
    <s v="FLP813"/>
    <d v="2026-11-17T00:00:00"/>
    <x v="1"/>
    <x v="3"/>
    <s v="CUST-1094"/>
    <s v="HP Pavilion Laptop"/>
    <x v="0"/>
    <n v="1"/>
    <n v="52000"/>
    <x v="0"/>
    <x v="0"/>
    <n v="52000"/>
    <s v="Counted"/>
  </r>
  <r>
    <s v="FLP814"/>
    <d v="2026-11-17T00:00:00"/>
    <x v="1"/>
    <x v="3"/>
    <s v="CUST-1019"/>
    <s v="Lenovo Tablet"/>
    <x v="0"/>
    <n v="1"/>
    <n v="18000"/>
    <x v="3"/>
    <x v="0"/>
    <n v="18000"/>
    <s v="Counted"/>
  </r>
  <r>
    <s v="FLP815"/>
    <d v="2026-11-17T00:00:00"/>
    <x v="1"/>
    <x v="3"/>
    <s v="CUST-1000"/>
    <s v="Wall Clock"/>
    <x v="2"/>
    <n v="1"/>
    <n v="1500"/>
    <x v="1"/>
    <x v="0"/>
    <n v="1500"/>
    <s v="Counted"/>
  </r>
  <r>
    <s v="FLP816"/>
    <d v="2026-11-17T00:00:00"/>
    <x v="1"/>
    <x v="1"/>
    <s v="CUST-995"/>
    <s v="Fossil Watch"/>
    <x v="3"/>
    <n v="1"/>
    <n v="7500"/>
    <x v="1"/>
    <x v="1"/>
    <n v="7500"/>
    <s v="Counted"/>
  </r>
  <r>
    <s v="FLP817"/>
    <d v="2026-11-18T00:00:00"/>
    <x v="1"/>
    <x v="1"/>
    <s v="CUST-1073"/>
    <s v="Sony Headphones"/>
    <x v="0"/>
    <n v="1"/>
    <n v="9500"/>
    <x v="4"/>
    <x v="0"/>
    <n v="9500"/>
    <s v="Counted"/>
  </r>
  <r>
    <s v="FLP818"/>
    <d v="2026-11-18T00:00:00"/>
    <x v="1"/>
    <x v="3"/>
    <s v="CUST-1023"/>
    <s v="OnePlus 12"/>
    <x v="0"/>
    <n v="1"/>
    <n v="58000"/>
    <x v="1"/>
    <x v="2"/>
    <n v="58000"/>
    <s v="Not Counted"/>
  </r>
  <r>
    <s v="FLP819"/>
    <d v="2026-11-18T00:00:00"/>
    <x v="1"/>
    <x v="0"/>
    <s v="CUST-955"/>
    <s v="Wooden Study Table"/>
    <x v="1"/>
    <n v="3"/>
    <n v="9500"/>
    <x v="3"/>
    <x v="3"/>
    <n v="28500"/>
    <s v="Not Counted"/>
  </r>
  <r>
    <s v="FLP820"/>
    <d v="2026-11-18T00:00:00"/>
    <x v="1"/>
    <x v="1"/>
    <s v="CUST-963"/>
    <s v="Mi Smart TV 43"/>
    <x v="0"/>
    <n v="1"/>
    <n v="24000"/>
    <x v="4"/>
    <x v="1"/>
    <n v="24000"/>
    <s v="Counted"/>
  </r>
  <r>
    <s v="FLP821"/>
    <d v="2026-11-18T00:00:00"/>
    <x v="1"/>
    <x v="2"/>
    <s v="CUST-1099"/>
    <s v="King Size Bed Sheet"/>
    <x v="2"/>
    <n v="2"/>
    <n v="2400"/>
    <x v="1"/>
    <x v="0"/>
    <n v="4800"/>
    <s v="Counted"/>
  </r>
  <r>
    <s v="FLP822"/>
    <d v="2026-11-19T00:00:00"/>
    <x v="1"/>
    <x v="2"/>
    <s v="CUST-993"/>
    <s v="Fossil Watch"/>
    <x v="3"/>
    <n v="1"/>
    <n v="7500"/>
    <x v="0"/>
    <x v="0"/>
    <n v="7500"/>
    <s v="Counted"/>
  </r>
  <r>
    <s v="FLP823"/>
    <d v="2026-11-19T00:00:00"/>
    <x v="1"/>
    <x v="1"/>
    <s v="CUST-1095"/>
    <s v="Mi Smart TV 43"/>
    <x v="0"/>
    <n v="1"/>
    <n v="24000"/>
    <x v="3"/>
    <x v="2"/>
    <n v="24000"/>
    <s v="Not Counted"/>
  </r>
  <r>
    <s v="FLP824"/>
    <d v="2026-11-19T00:00:00"/>
    <x v="1"/>
    <x v="0"/>
    <s v="CUST-1045"/>
    <s v="Bookshelf Rack"/>
    <x v="1"/>
    <n v="1"/>
    <n v="6500"/>
    <x v="3"/>
    <x v="1"/>
    <n v="6500"/>
    <s v="Counted"/>
  </r>
  <r>
    <s v="FLP825"/>
    <d v="2026-11-19T00:00:00"/>
    <x v="1"/>
    <x v="1"/>
    <s v="CUST-976"/>
    <s v="Apple iPhone 15"/>
    <x v="0"/>
    <n v="1"/>
    <n v="65000"/>
    <x v="1"/>
    <x v="0"/>
    <n v="65000"/>
    <s v="Counted"/>
  </r>
  <r>
    <s v="FLP826"/>
    <d v="2026-11-19T00:00:00"/>
    <x v="1"/>
    <x v="3"/>
    <s v="CUST-1028"/>
    <s v="King Size Bed Sheet"/>
    <x v="2"/>
    <n v="1"/>
    <n v="2400"/>
    <x v="0"/>
    <x v="3"/>
    <n v="2400"/>
    <s v="Not Counted"/>
  </r>
  <r>
    <s v="FLP827"/>
    <d v="2026-11-20T00:00:00"/>
    <x v="1"/>
    <x v="1"/>
    <s v="CUST-1086"/>
    <s v="3-Seater Sofa"/>
    <x v="1"/>
    <n v="1"/>
    <n v="28000"/>
    <x v="4"/>
    <x v="0"/>
    <n v="28000"/>
    <s v="Counted"/>
  </r>
  <r>
    <s v="FLP828"/>
    <d v="2026-11-20T00:00:00"/>
    <x v="1"/>
    <x v="2"/>
    <s v="CUST-944"/>
    <s v="Boat Airdopes"/>
    <x v="0"/>
    <n v="2"/>
    <n v="1800"/>
    <x v="1"/>
    <x v="0"/>
    <n v="3600"/>
    <s v="Counted"/>
  </r>
  <r>
    <s v="FLP829"/>
    <d v="2026-11-20T00:00:00"/>
    <x v="1"/>
    <x v="0"/>
    <s v="CUST-1035"/>
    <s v="Boat Airdopes"/>
    <x v="0"/>
    <n v="2"/>
    <n v="1800"/>
    <x v="1"/>
    <x v="2"/>
    <n v="3600"/>
    <s v="Not Counted"/>
  </r>
  <r>
    <s v="FLP830"/>
    <d v="2026-11-20T00:00:00"/>
    <x v="1"/>
    <x v="0"/>
    <s v="CUST-1006"/>
    <s v="Philips Air Fryer"/>
    <x v="4"/>
    <n v="1"/>
    <n v="8500"/>
    <x v="1"/>
    <x v="0"/>
    <n v="8500"/>
    <s v="Counted"/>
  </r>
  <r>
    <s v="FLP831"/>
    <d v="2026-11-20T00:00:00"/>
    <x v="1"/>
    <x v="0"/>
    <s v="CUST-956"/>
    <s v="OnePlus 12"/>
    <x v="0"/>
    <n v="1"/>
    <n v="58000"/>
    <x v="0"/>
    <x v="0"/>
    <n v="58000"/>
    <s v="Counted"/>
  </r>
  <r>
    <s v="FLP832"/>
    <d v="2026-11-20T00:00:00"/>
    <x v="1"/>
    <x v="1"/>
    <s v="CUST-1069"/>
    <s v="Nike T-Shirt"/>
    <x v="3"/>
    <n v="1"/>
    <n v="1600"/>
    <x v="0"/>
    <x v="0"/>
    <n v="1600"/>
    <s v="Counted"/>
  </r>
  <r>
    <s v="FLP833"/>
    <d v="2026-11-21T00:00:00"/>
    <x v="1"/>
    <x v="0"/>
    <s v="CUST-1036"/>
    <s v="Adidas Sports Jacket"/>
    <x v="3"/>
    <n v="1"/>
    <n v="5000"/>
    <x v="2"/>
    <x v="0"/>
    <n v="5000"/>
    <s v="Counted"/>
  </r>
  <r>
    <s v="FLP834"/>
    <d v="2026-11-21T00:00:00"/>
    <x v="1"/>
    <x v="1"/>
    <s v="CUST-946"/>
    <s v="Wooden Study Table"/>
    <x v="1"/>
    <n v="1"/>
    <n v="9500"/>
    <x v="1"/>
    <x v="0"/>
    <n v="9500"/>
    <s v="Counted"/>
  </r>
  <r>
    <s v="FLP835"/>
    <d v="2026-11-21T00:00:00"/>
    <x v="1"/>
    <x v="2"/>
    <s v="CUST-991"/>
    <s v="HP Pavilion Laptop"/>
    <x v="0"/>
    <n v="1"/>
    <n v="52000"/>
    <x v="1"/>
    <x v="0"/>
    <n v="52000"/>
    <s v="Counted"/>
  </r>
  <r>
    <s v="FLP836"/>
    <d v="2026-11-21T00:00:00"/>
    <x v="1"/>
    <x v="1"/>
    <s v="CUST-1045"/>
    <s v="Bookshelf Rack"/>
    <x v="1"/>
    <n v="3"/>
    <n v="6500"/>
    <x v="1"/>
    <x v="1"/>
    <n v="19500"/>
    <s v="Counted"/>
  </r>
  <r>
    <s v="FLP837"/>
    <d v="2026-11-21T00:00:00"/>
    <x v="1"/>
    <x v="0"/>
    <s v="CUST-1068"/>
    <s v="Wooden Study Table"/>
    <x v="1"/>
    <n v="1"/>
    <n v="9500"/>
    <x v="3"/>
    <x v="0"/>
    <n v="9500"/>
    <s v="Counted"/>
  </r>
  <r>
    <s v="FLP838"/>
    <d v="2026-11-22T00:00:00"/>
    <x v="1"/>
    <x v="1"/>
    <s v="CUST-997"/>
    <s v="Samsung Galaxy S24"/>
    <x v="0"/>
    <n v="1"/>
    <n v="62000"/>
    <x v="0"/>
    <x v="0"/>
    <n v="62000"/>
    <s v="Counted"/>
  </r>
  <r>
    <s v="FLP839"/>
    <d v="2026-11-22T00:00:00"/>
    <x v="1"/>
    <x v="0"/>
    <s v="CUST-1028"/>
    <s v="Apple iPhone 15"/>
    <x v="0"/>
    <n v="1"/>
    <n v="65000"/>
    <x v="3"/>
    <x v="0"/>
    <n v="65000"/>
    <s v="Counted"/>
  </r>
  <r>
    <s v="FLP840"/>
    <d v="2026-11-22T00:00:00"/>
    <x v="1"/>
    <x v="0"/>
    <s v="CUST-1036"/>
    <s v="3-Seater Sofa"/>
    <x v="1"/>
    <n v="1"/>
    <n v="28000"/>
    <x v="3"/>
    <x v="0"/>
    <n v="28000"/>
    <s v="Counted"/>
  </r>
  <r>
    <s v="FLP841"/>
    <d v="2026-11-22T00:00:00"/>
    <x v="1"/>
    <x v="1"/>
    <s v="CUST-970"/>
    <s v="Prestige Mixer Grinder"/>
    <x v="4"/>
    <n v="2"/>
    <n v="3800"/>
    <x v="1"/>
    <x v="0"/>
    <n v="7600"/>
    <s v="Counted"/>
  </r>
  <r>
    <s v="FLP842"/>
    <d v="2026-11-22T00:00:00"/>
    <x v="1"/>
    <x v="0"/>
    <s v="CUST-946"/>
    <s v="Ergonomic Office Chair"/>
    <x v="1"/>
    <n v="2"/>
    <n v="12000"/>
    <x v="3"/>
    <x v="0"/>
    <n v="24000"/>
    <s v="Counted"/>
  </r>
  <r>
    <s v="FLP843"/>
    <d v="2026-11-22T00:00:00"/>
    <x v="1"/>
    <x v="1"/>
    <s v="CUST-920"/>
    <s v="Sony Headphones"/>
    <x v="0"/>
    <n v="1"/>
    <n v="9500"/>
    <x v="1"/>
    <x v="0"/>
    <n v="9500"/>
    <s v="Counted"/>
  </r>
  <r>
    <s v="FLP844"/>
    <d v="2026-11-22T00:00:00"/>
    <x v="1"/>
    <x v="1"/>
    <s v="CUST-1074"/>
    <s v="Levis Jeans"/>
    <x v="3"/>
    <n v="2"/>
    <n v="2800"/>
    <x v="3"/>
    <x v="0"/>
    <n v="5600"/>
    <s v="Counted"/>
  </r>
  <r>
    <s v="FLP845"/>
    <d v="2026-11-22T00:00:00"/>
    <x v="1"/>
    <x v="0"/>
    <s v="CUST-1029"/>
    <s v="Dyson Vacuum Cleaner"/>
    <x v="4"/>
    <n v="1"/>
    <n v="22000"/>
    <x v="2"/>
    <x v="0"/>
    <n v="22000"/>
    <s v="Counted"/>
  </r>
  <r>
    <s v="FLP846"/>
    <d v="2026-11-23T00:00:00"/>
    <x v="1"/>
    <x v="0"/>
    <s v="CUST-988"/>
    <s v="Mi Smart TV 43"/>
    <x v="0"/>
    <n v="1"/>
    <n v="24000"/>
    <x v="4"/>
    <x v="0"/>
    <n v="24000"/>
    <s v="Counted"/>
  </r>
  <r>
    <s v="FLP847"/>
    <d v="2026-11-23T00:00:00"/>
    <x v="1"/>
    <x v="2"/>
    <s v="CUST-908"/>
    <s v="Nike T-Shirt"/>
    <x v="3"/>
    <n v="1"/>
    <n v="1600"/>
    <x v="4"/>
    <x v="1"/>
    <n v="1600"/>
    <s v="Counted"/>
  </r>
  <r>
    <s v="FLP848"/>
    <d v="2026-11-23T00:00:00"/>
    <x v="1"/>
    <x v="2"/>
    <s v="CUST-1042"/>
    <s v="Curtain Set"/>
    <x v="2"/>
    <n v="1"/>
    <n v="2200"/>
    <x v="3"/>
    <x v="0"/>
    <n v="2200"/>
    <s v="Counted"/>
  </r>
  <r>
    <s v="FLP849"/>
    <d v="2026-11-23T00:00:00"/>
    <x v="1"/>
    <x v="1"/>
    <s v="CUST-922"/>
    <s v="Philips Air Fryer"/>
    <x v="4"/>
    <n v="1"/>
    <n v="8500"/>
    <x v="2"/>
    <x v="0"/>
    <n v="8500"/>
    <s v="Counted"/>
  </r>
  <r>
    <s v="FLP850"/>
    <d v="2026-11-24T00:00:00"/>
    <x v="1"/>
    <x v="0"/>
    <s v="CUST-969"/>
    <s v="Lenovo Tablet"/>
    <x v="0"/>
    <n v="1"/>
    <n v="18000"/>
    <x v="1"/>
    <x v="1"/>
    <n v="18000"/>
    <s v="Counted"/>
  </r>
  <r>
    <s v="FLP851"/>
    <d v="2026-11-24T00:00:00"/>
    <x v="1"/>
    <x v="1"/>
    <s v="CUST-982"/>
    <s v="Fossil Watch"/>
    <x v="3"/>
    <n v="1"/>
    <n v="7500"/>
    <x v="0"/>
    <x v="0"/>
    <n v="7500"/>
    <s v="Counted"/>
  </r>
  <r>
    <s v="FLP852"/>
    <d v="2026-11-25T00:00:00"/>
    <x v="1"/>
    <x v="2"/>
    <s v="CUST-927"/>
    <s v="Wooden Study Table"/>
    <x v="1"/>
    <n v="1"/>
    <n v="9500"/>
    <x v="1"/>
    <x v="0"/>
    <n v="9500"/>
    <s v="Counted"/>
  </r>
  <r>
    <s v="FLP853"/>
    <d v="2026-11-25T00:00:00"/>
    <x v="1"/>
    <x v="1"/>
    <s v="CUST-927"/>
    <s v="Curtain Set"/>
    <x v="2"/>
    <n v="1"/>
    <n v="2200"/>
    <x v="1"/>
    <x v="0"/>
    <n v="2200"/>
    <s v="Counted"/>
  </r>
  <r>
    <s v="FLP854"/>
    <d v="2026-11-25T00:00:00"/>
    <x v="1"/>
    <x v="2"/>
    <s v="CUST-999"/>
    <s v="OnePlus 12"/>
    <x v="0"/>
    <n v="1"/>
    <n v="58000"/>
    <x v="1"/>
    <x v="0"/>
    <n v="58000"/>
    <s v="Counted"/>
  </r>
  <r>
    <s v="FLP855"/>
    <d v="2026-11-25T00:00:00"/>
    <x v="1"/>
    <x v="3"/>
    <s v="CUST-1047"/>
    <s v="Dyson Vacuum Cleaner"/>
    <x v="4"/>
    <n v="1"/>
    <n v="22000"/>
    <x v="0"/>
    <x v="1"/>
    <n v="22000"/>
    <s v="Counted"/>
  </r>
  <r>
    <s v="FLP856"/>
    <d v="2026-11-25T00:00:00"/>
    <x v="1"/>
    <x v="2"/>
    <s v="CUST-969"/>
    <s v="Boat Airdopes"/>
    <x v="0"/>
    <n v="1"/>
    <n v="1800"/>
    <x v="0"/>
    <x v="0"/>
    <n v="1800"/>
    <s v="Counted"/>
  </r>
  <r>
    <s v="FLP857"/>
    <d v="2026-11-25T00:00:00"/>
    <x v="1"/>
    <x v="2"/>
    <s v="CUST-1024"/>
    <s v="Wall Clock"/>
    <x v="2"/>
    <n v="1"/>
    <n v="1500"/>
    <x v="2"/>
    <x v="0"/>
    <n v="1500"/>
    <s v="Counted"/>
  </r>
  <r>
    <s v="FLP858"/>
    <d v="2026-11-25T00:00:00"/>
    <x v="1"/>
    <x v="1"/>
    <s v="CUST-1053"/>
    <s v="Lenovo Tablet"/>
    <x v="0"/>
    <n v="1"/>
    <n v="18000"/>
    <x v="4"/>
    <x v="0"/>
    <n v="18000"/>
    <s v="Counted"/>
  </r>
  <r>
    <s v="FLP859"/>
    <d v="2026-11-25T00:00:00"/>
    <x v="1"/>
    <x v="1"/>
    <s v="CUST-986"/>
    <s v="HP Pavilion Laptop"/>
    <x v="0"/>
    <n v="1"/>
    <n v="52000"/>
    <x v="3"/>
    <x v="0"/>
    <n v="52000"/>
    <s v="Counted"/>
  </r>
  <r>
    <s v="FLP860"/>
    <d v="2026-11-25T00:00:00"/>
    <x v="1"/>
    <x v="1"/>
    <s v="CUST-1067"/>
    <s v="3-Seater Sofa"/>
    <x v="1"/>
    <n v="1"/>
    <n v="28000"/>
    <x v="3"/>
    <x v="0"/>
    <n v="28000"/>
    <s v="Counted"/>
  </r>
  <r>
    <s v="FLP861"/>
    <d v="2026-11-25T00:00:00"/>
    <x v="1"/>
    <x v="3"/>
    <s v="CUST-1023"/>
    <s v="3-Seater Sofa"/>
    <x v="1"/>
    <n v="1"/>
    <n v="28000"/>
    <x v="1"/>
    <x v="3"/>
    <n v="28000"/>
    <s v="Not Counted"/>
  </r>
  <r>
    <s v="FLP862"/>
    <d v="2026-11-25T00:00:00"/>
    <x v="1"/>
    <x v="1"/>
    <s v="CUST-1048"/>
    <s v="3-Seater Sofa"/>
    <x v="1"/>
    <n v="1"/>
    <n v="28000"/>
    <x v="2"/>
    <x v="0"/>
    <n v="28000"/>
    <s v="Counted"/>
  </r>
  <r>
    <s v="FLP863"/>
    <d v="2026-11-26T00:00:00"/>
    <x v="1"/>
    <x v="1"/>
    <s v="CUST-994"/>
    <s v="Ergonomic Office Chair"/>
    <x v="1"/>
    <n v="1"/>
    <n v="12000"/>
    <x v="1"/>
    <x v="0"/>
    <n v="12000"/>
    <s v="Counted"/>
  </r>
  <r>
    <s v="FLP864"/>
    <d v="2026-11-26T00:00:00"/>
    <x v="1"/>
    <x v="3"/>
    <s v="CUST-1075"/>
    <s v="Levis Jeans"/>
    <x v="3"/>
    <n v="3"/>
    <n v="2800"/>
    <x v="2"/>
    <x v="0"/>
    <n v="8400"/>
    <s v="Counted"/>
  </r>
  <r>
    <s v="FLP865"/>
    <d v="2026-11-26T00:00:00"/>
    <x v="1"/>
    <x v="3"/>
    <s v="CUST-1013"/>
    <s v="LG Microwave Oven"/>
    <x v="4"/>
    <n v="1"/>
    <n v="12500"/>
    <x v="2"/>
    <x v="2"/>
    <n v="12500"/>
    <s v="Not Counted"/>
  </r>
  <r>
    <s v="FLP866"/>
    <d v="2026-11-26T00:00:00"/>
    <x v="1"/>
    <x v="1"/>
    <s v="CUST-1073"/>
    <s v="OnePlus 12"/>
    <x v="0"/>
    <n v="1"/>
    <n v="58000"/>
    <x v="0"/>
    <x v="0"/>
    <n v="58000"/>
    <s v="Counted"/>
  </r>
  <r>
    <s v="FLP867"/>
    <d v="2026-11-26T00:00:00"/>
    <x v="1"/>
    <x v="3"/>
    <s v="CUST-1084"/>
    <s v="Lenovo Tablet"/>
    <x v="0"/>
    <n v="1"/>
    <n v="18000"/>
    <x v="0"/>
    <x v="0"/>
    <n v="18000"/>
    <s v="Counted"/>
  </r>
  <r>
    <s v="FLP868"/>
    <d v="2026-11-26T00:00:00"/>
    <x v="1"/>
    <x v="1"/>
    <s v="CUST-1050"/>
    <s v="Curtain Set"/>
    <x v="2"/>
    <n v="3"/>
    <n v="2200"/>
    <x v="0"/>
    <x v="0"/>
    <n v="6600"/>
    <s v="Counted"/>
  </r>
  <r>
    <s v="FLP869"/>
    <d v="2026-11-26T00:00:00"/>
    <x v="1"/>
    <x v="0"/>
    <s v="CUST-993"/>
    <s v="Prestige Mixer Grinder"/>
    <x v="4"/>
    <n v="1"/>
    <n v="3800"/>
    <x v="4"/>
    <x v="1"/>
    <n v="3800"/>
    <s v="Counted"/>
  </r>
  <r>
    <s v="FLP870"/>
    <d v="2026-11-27T00:00:00"/>
    <x v="1"/>
    <x v="0"/>
    <s v="CUST-928"/>
    <s v="Nike T-Shirt"/>
    <x v="3"/>
    <n v="1"/>
    <n v="1600"/>
    <x v="2"/>
    <x v="0"/>
    <n v="1600"/>
    <s v="Counted"/>
  </r>
  <r>
    <s v="FLP871"/>
    <d v="2026-11-27T00:00:00"/>
    <x v="1"/>
    <x v="0"/>
    <s v="CUST-1045"/>
    <s v="Bookshelf Rack"/>
    <x v="1"/>
    <n v="1"/>
    <n v="6500"/>
    <x v="3"/>
    <x v="0"/>
    <n v="6500"/>
    <s v="Counted"/>
  </r>
  <r>
    <s v="FLP872"/>
    <d v="2026-11-27T00:00:00"/>
    <x v="1"/>
    <x v="2"/>
    <s v="CUST-1011"/>
    <s v="King Size Bed Sheet"/>
    <x v="2"/>
    <n v="3"/>
    <n v="2400"/>
    <x v="1"/>
    <x v="0"/>
    <n v="7200"/>
    <s v="Counted"/>
  </r>
  <r>
    <s v="FLP873"/>
    <d v="2026-11-27T00:00:00"/>
    <x v="1"/>
    <x v="3"/>
    <s v="CUST-1015"/>
    <s v="Lenovo Tablet"/>
    <x v="0"/>
    <n v="1"/>
    <n v="18000"/>
    <x v="0"/>
    <x v="0"/>
    <n v="18000"/>
    <s v="Counted"/>
  </r>
  <r>
    <s v="FLP874"/>
    <d v="2026-11-28T00:00:00"/>
    <x v="1"/>
    <x v="3"/>
    <s v="CUST-989"/>
    <s v="Philips Air Fryer"/>
    <x v="4"/>
    <n v="1"/>
    <n v="8500"/>
    <x v="3"/>
    <x v="0"/>
    <n v="8500"/>
    <s v="Counted"/>
  </r>
  <r>
    <s v="FLP875"/>
    <d v="2026-11-28T00:00:00"/>
    <x v="1"/>
    <x v="0"/>
    <s v="CUST-930"/>
    <s v="Wooden Study Table"/>
    <x v="1"/>
    <n v="1"/>
    <n v="9500"/>
    <x v="3"/>
    <x v="1"/>
    <n v="9500"/>
    <s v="Counted"/>
  </r>
  <r>
    <s v="FLP876"/>
    <d v="2026-11-28T00:00:00"/>
    <x v="1"/>
    <x v="1"/>
    <s v="CUST-953"/>
    <s v="Bookshelf Rack"/>
    <x v="1"/>
    <n v="1"/>
    <n v="6500"/>
    <x v="0"/>
    <x v="0"/>
    <n v="6500"/>
    <s v="Counted"/>
  </r>
  <r>
    <s v="FLP877"/>
    <d v="2026-11-28T00:00:00"/>
    <x v="1"/>
    <x v="1"/>
    <s v="CUST-982"/>
    <s v="Mi Smart TV 43"/>
    <x v="0"/>
    <n v="1"/>
    <n v="24000"/>
    <x v="1"/>
    <x v="0"/>
    <n v="24000"/>
    <s v="Counted"/>
  </r>
  <r>
    <s v="FLP878"/>
    <d v="2026-11-28T00:00:00"/>
    <x v="1"/>
    <x v="2"/>
    <s v="CUST-1066"/>
    <s v="Prestige Mixer Grinder"/>
    <x v="4"/>
    <n v="1"/>
    <n v="3800"/>
    <x v="1"/>
    <x v="1"/>
    <n v="3800"/>
    <s v="Counted"/>
  </r>
  <r>
    <s v="FLP879"/>
    <d v="2026-11-28T00:00:00"/>
    <x v="1"/>
    <x v="3"/>
    <s v="CUST-1042"/>
    <s v="LG Microwave Oven"/>
    <x v="4"/>
    <n v="1"/>
    <n v="12500"/>
    <x v="1"/>
    <x v="0"/>
    <n v="12500"/>
    <s v="Counted"/>
  </r>
  <r>
    <s v="FLP880"/>
    <d v="2026-11-28T00:00:00"/>
    <x v="1"/>
    <x v="1"/>
    <s v="CUST-1062"/>
    <s v="Curtain Set"/>
    <x v="2"/>
    <n v="1"/>
    <n v="2200"/>
    <x v="1"/>
    <x v="0"/>
    <n v="2200"/>
    <s v="Counted"/>
  </r>
  <r>
    <s v="FLP881"/>
    <d v="2026-11-28T00:00:00"/>
    <x v="1"/>
    <x v="3"/>
    <s v="CUST-1016"/>
    <s v="Wall Clock"/>
    <x v="2"/>
    <n v="1"/>
    <n v="1500"/>
    <x v="4"/>
    <x v="0"/>
    <n v="1500"/>
    <s v="Counted"/>
  </r>
  <r>
    <s v="FLP882"/>
    <d v="2026-11-28T00:00:00"/>
    <x v="1"/>
    <x v="2"/>
    <s v="CUST-1093"/>
    <s v="Prestige Mixer Grinder"/>
    <x v="4"/>
    <n v="1"/>
    <n v="3800"/>
    <x v="4"/>
    <x v="1"/>
    <n v="3800"/>
    <s v="Counted"/>
  </r>
  <r>
    <s v="FLP883"/>
    <d v="2026-11-28T00:00:00"/>
    <x v="1"/>
    <x v="3"/>
    <s v="CUST-994"/>
    <s v="Levis Jeans"/>
    <x v="3"/>
    <n v="1"/>
    <n v="2800"/>
    <x v="1"/>
    <x v="0"/>
    <n v="2800"/>
    <s v="Counted"/>
  </r>
  <r>
    <s v="FLP884"/>
    <d v="2026-11-29T00:00:00"/>
    <x v="1"/>
    <x v="1"/>
    <s v="CUST-1036"/>
    <s v="Ergonomic Office Chair"/>
    <x v="1"/>
    <n v="1"/>
    <n v="12000"/>
    <x v="3"/>
    <x v="0"/>
    <n v="12000"/>
    <s v="Counted"/>
  </r>
  <r>
    <s v="FLP885"/>
    <d v="2026-11-29T00:00:00"/>
    <x v="1"/>
    <x v="0"/>
    <s v="CUST-990"/>
    <s v="King Size Bed Sheet"/>
    <x v="2"/>
    <n v="1"/>
    <n v="2400"/>
    <x v="0"/>
    <x v="0"/>
    <n v="2400"/>
    <s v="Counted"/>
  </r>
  <r>
    <s v="FLP886"/>
    <d v="2026-11-29T00:00:00"/>
    <x v="1"/>
    <x v="2"/>
    <s v="CUST-1058"/>
    <s v="Boat Airdopes"/>
    <x v="0"/>
    <n v="2"/>
    <n v="1800"/>
    <x v="4"/>
    <x v="0"/>
    <n v="3600"/>
    <s v="Counted"/>
  </r>
  <r>
    <s v="FLP887"/>
    <d v="2026-11-29T00:00:00"/>
    <x v="1"/>
    <x v="2"/>
    <s v="CUST-930"/>
    <s v="3-Seater Sofa"/>
    <x v="1"/>
    <n v="1"/>
    <n v="28000"/>
    <x v="1"/>
    <x v="1"/>
    <n v="28000"/>
    <s v="Counted"/>
  </r>
  <r>
    <s v="FLP888"/>
    <d v="2026-11-29T00:00:00"/>
    <x v="1"/>
    <x v="3"/>
    <s v="CUST-1048"/>
    <s v="Puma Running Shoes"/>
    <x v="3"/>
    <n v="1"/>
    <n v="3500"/>
    <x v="0"/>
    <x v="0"/>
    <n v="3500"/>
    <s v="Counted"/>
  </r>
  <r>
    <s v="FLP889"/>
    <d v="2026-11-29T00:00:00"/>
    <x v="1"/>
    <x v="3"/>
    <s v="CUST-1043"/>
    <s v="Fossil Watch"/>
    <x v="3"/>
    <n v="1"/>
    <n v="7500"/>
    <x v="1"/>
    <x v="0"/>
    <n v="7500"/>
    <s v="Counted"/>
  </r>
  <r>
    <s v="FLP890"/>
    <d v="2026-11-29T00:00:00"/>
    <x v="1"/>
    <x v="1"/>
    <s v="CUST-1059"/>
    <s v="Boat Airdopes"/>
    <x v="0"/>
    <n v="1"/>
    <n v="1800"/>
    <x v="1"/>
    <x v="0"/>
    <n v="1800"/>
    <s v="Counted"/>
  </r>
  <r>
    <s v="FLP891"/>
    <d v="2026-11-29T00:00:00"/>
    <x v="1"/>
    <x v="3"/>
    <s v="CUST-999"/>
    <s v="Apple iPhone 15"/>
    <x v="0"/>
    <n v="1"/>
    <n v="65000"/>
    <x v="3"/>
    <x v="0"/>
    <n v="65000"/>
    <s v="Counted"/>
  </r>
  <r>
    <s v="FLP892"/>
    <d v="2026-11-30T00:00:00"/>
    <x v="1"/>
    <x v="1"/>
    <s v="CUST-1007"/>
    <s v="Table Lamp"/>
    <x v="2"/>
    <n v="1"/>
    <n v="1800"/>
    <x v="4"/>
    <x v="0"/>
    <n v="1800"/>
    <s v="Counted"/>
  </r>
  <r>
    <s v="FLP893"/>
    <d v="2026-11-30T00:00:00"/>
    <x v="1"/>
    <x v="0"/>
    <s v="CUST-1095"/>
    <s v="Boat Airdopes"/>
    <x v="0"/>
    <n v="1"/>
    <n v="1800"/>
    <x v="1"/>
    <x v="0"/>
    <n v="1800"/>
    <s v="Counted"/>
  </r>
  <r>
    <s v="FLP894"/>
    <d v="2026-11-30T00:00:00"/>
    <x v="1"/>
    <x v="3"/>
    <s v="CUST-1100"/>
    <s v="Lenovo Tablet"/>
    <x v="0"/>
    <n v="1"/>
    <n v="18000"/>
    <x v="0"/>
    <x v="1"/>
    <n v="18000"/>
    <s v="Counted"/>
  </r>
  <r>
    <s v="FLP895"/>
    <d v="2026-11-30T00:00:00"/>
    <x v="1"/>
    <x v="0"/>
    <s v="CUST-1047"/>
    <s v="Dyson Vacuum Cleaner"/>
    <x v="4"/>
    <n v="1"/>
    <n v="22000"/>
    <x v="1"/>
    <x v="1"/>
    <n v="22000"/>
    <s v="Counted"/>
  </r>
  <r>
    <s v="FLP896"/>
    <d v="2026-11-30T00:00:00"/>
    <x v="1"/>
    <x v="0"/>
    <s v="CUST-1095"/>
    <s v="Bookshelf Rack"/>
    <x v="1"/>
    <n v="1"/>
    <n v="6500"/>
    <x v="4"/>
    <x v="0"/>
    <n v="6500"/>
    <s v="Counted"/>
  </r>
  <r>
    <s v="FLP897"/>
    <d v="2026-11-30T00:00:00"/>
    <x v="1"/>
    <x v="3"/>
    <s v="CUST-977"/>
    <s v="Wall Clock"/>
    <x v="2"/>
    <n v="1"/>
    <n v="1500"/>
    <x v="3"/>
    <x v="0"/>
    <n v="1500"/>
    <s v="Counted"/>
  </r>
  <r>
    <s v="FLP898"/>
    <d v="2026-12-01T00:00:00"/>
    <x v="2"/>
    <x v="0"/>
    <s v="CUST-1013"/>
    <s v="Ergonomic Office Chair"/>
    <x v="1"/>
    <n v="1"/>
    <n v="12000"/>
    <x v="3"/>
    <x v="0"/>
    <n v="12000"/>
    <s v="Counted"/>
  </r>
  <r>
    <s v="FLP899"/>
    <d v="2026-12-01T00:00:00"/>
    <x v="2"/>
    <x v="2"/>
    <s v="CUST-1082"/>
    <s v="Lenovo Tablet"/>
    <x v="0"/>
    <n v="1"/>
    <n v="18000"/>
    <x v="4"/>
    <x v="0"/>
    <n v="18000"/>
    <s v="Counted"/>
  </r>
  <r>
    <s v="FLP900"/>
    <d v="2026-12-01T00:00:00"/>
    <x v="2"/>
    <x v="3"/>
    <s v="CUST-953"/>
    <s v="Nike T-Shirt"/>
    <x v="3"/>
    <n v="1"/>
    <n v="1600"/>
    <x v="2"/>
    <x v="0"/>
    <n v="1600"/>
    <s v="Counted"/>
  </r>
  <r>
    <s v="FLP901"/>
    <d v="2026-12-02T00:00:00"/>
    <x v="2"/>
    <x v="3"/>
    <s v="CUST-983"/>
    <s v="Adidas Sports Jacket"/>
    <x v="3"/>
    <n v="1"/>
    <n v="5000"/>
    <x v="3"/>
    <x v="0"/>
    <n v="5000"/>
    <s v="Counted"/>
  </r>
  <r>
    <s v="FLP902"/>
    <d v="2026-12-02T00:00:00"/>
    <x v="2"/>
    <x v="0"/>
    <s v="CUST-935"/>
    <s v="Levis Jeans"/>
    <x v="3"/>
    <n v="1"/>
    <n v="2800"/>
    <x v="3"/>
    <x v="1"/>
    <n v="2800"/>
    <s v="Counted"/>
  </r>
  <r>
    <s v="FLP903"/>
    <d v="2026-12-02T00:00:00"/>
    <x v="2"/>
    <x v="3"/>
    <s v="CUST-1080"/>
    <s v="Samsung Galaxy S24"/>
    <x v="0"/>
    <n v="2"/>
    <n v="62000"/>
    <x v="3"/>
    <x v="0"/>
    <n v="124000"/>
    <s v="Counted"/>
  </r>
  <r>
    <s v="FLP904"/>
    <d v="2026-12-02T00:00:00"/>
    <x v="2"/>
    <x v="3"/>
    <s v="CUST-1095"/>
    <s v="Prestige Mixer Grinder"/>
    <x v="4"/>
    <n v="1"/>
    <n v="3800"/>
    <x v="3"/>
    <x v="0"/>
    <n v="3800"/>
    <s v="Counted"/>
  </r>
  <r>
    <s v="FLP905"/>
    <d v="2026-12-02T00:00:00"/>
    <x v="2"/>
    <x v="2"/>
    <s v="CUST-1061"/>
    <s v="HP Pavilion Laptop"/>
    <x v="0"/>
    <n v="1"/>
    <n v="52000"/>
    <x v="0"/>
    <x v="0"/>
    <n v="52000"/>
    <s v="Counted"/>
  </r>
  <r>
    <s v="FLP906"/>
    <d v="2026-12-02T00:00:00"/>
    <x v="2"/>
    <x v="0"/>
    <s v="CUST-1004"/>
    <s v="Fossil Watch"/>
    <x v="3"/>
    <n v="2"/>
    <n v="7500"/>
    <x v="0"/>
    <x v="0"/>
    <n v="15000"/>
    <s v="Counted"/>
  </r>
  <r>
    <s v="FLP907"/>
    <d v="2026-12-02T00:00:00"/>
    <x v="2"/>
    <x v="1"/>
    <s v="CUST-984"/>
    <s v="Bookshelf Rack"/>
    <x v="1"/>
    <n v="1"/>
    <n v="6500"/>
    <x v="4"/>
    <x v="2"/>
    <n v="6500"/>
    <s v="Not Counted"/>
  </r>
  <r>
    <s v="FLP908"/>
    <d v="2026-12-02T00:00:00"/>
    <x v="2"/>
    <x v="1"/>
    <s v="CUST-1063"/>
    <s v="LG Microwave Oven"/>
    <x v="4"/>
    <n v="1"/>
    <n v="12500"/>
    <x v="4"/>
    <x v="0"/>
    <n v="12500"/>
    <s v="Counted"/>
  </r>
  <r>
    <s v="FLP909"/>
    <d v="2026-12-02T00:00:00"/>
    <x v="2"/>
    <x v="1"/>
    <s v="CUST-956"/>
    <s v="OnePlus 12"/>
    <x v="0"/>
    <n v="1"/>
    <n v="58000"/>
    <x v="3"/>
    <x v="2"/>
    <n v="58000"/>
    <s v="Not Counted"/>
  </r>
  <r>
    <s v="FLP910"/>
    <d v="2026-12-03T00:00:00"/>
    <x v="2"/>
    <x v="2"/>
    <s v="CUST-987"/>
    <s v="Table Lamp"/>
    <x v="2"/>
    <n v="1"/>
    <n v="1800"/>
    <x v="0"/>
    <x v="0"/>
    <n v="1800"/>
    <s v="Counted"/>
  </r>
  <r>
    <s v="FLP911"/>
    <d v="2026-12-03T00:00:00"/>
    <x v="2"/>
    <x v="0"/>
    <s v="CUST-912"/>
    <s v="Table Lamp"/>
    <x v="2"/>
    <n v="2"/>
    <n v="1800"/>
    <x v="1"/>
    <x v="1"/>
    <n v="3600"/>
    <s v="Counted"/>
  </r>
  <r>
    <s v="FLP912"/>
    <d v="2026-12-03T00:00:00"/>
    <x v="2"/>
    <x v="3"/>
    <s v="CUST-1013"/>
    <s v="Curtain Set"/>
    <x v="2"/>
    <n v="1"/>
    <n v="2200"/>
    <x v="0"/>
    <x v="3"/>
    <n v="2200"/>
    <s v="Not Counted"/>
  </r>
  <r>
    <s v="FLP913"/>
    <d v="2026-12-03T00:00:00"/>
    <x v="2"/>
    <x v="3"/>
    <s v="CUST-1067"/>
    <s v="Wall Clock"/>
    <x v="2"/>
    <n v="1"/>
    <n v="1500"/>
    <x v="1"/>
    <x v="2"/>
    <n v="1500"/>
    <s v="Not Counted"/>
  </r>
  <r>
    <s v="FLP914"/>
    <d v="2026-12-03T00:00:00"/>
    <x v="2"/>
    <x v="2"/>
    <s v="CUST-965"/>
    <s v="Ergonomic Office Chair"/>
    <x v="1"/>
    <n v="1"/>
    <n v="12000"/>
    <x v="1"/>
    <x v="0"/>
    <n v="12000"/>
    <s v="Counted"/>
  </r>
  <r>
    <s v="FLP915"/>
    <d v="2026-12-04T00:00:00"/>
    <x v="2"/>
    <x v="1"/>
    <s v="CUST-1061"/>
    <s v="Fossil Watch"/>
    <x v="3"/>
    <n v="1"/>
    <n v="7500"/>
    <x v="1"/>
    <x v="1"/>
    <n v="7500"/>
    <s v="Counted"/>
  </r>
  <r>
    <s v="FLP916"/>
    <d v="2026-12-04T00:00:00"/>
    <x v="2"/>
    <x v="0"/>
    <s v="CUST-1081"/>
    <s v="Lenovo Tablet"/>
    <x v="0"/>
    <n v="1"/>
    <n v="18000"/>
    <x v="1"/>
    <x v="0"/>
    <n v="18000"/>
    <s v="Counted"/>
  </r>
  <r>
    <s v="FLP917"/>
    <d v="2026-12-04T00:00:00"/>
    <x v="2"/>
    <x v="3"/>
    <s v="CUST-1033"/>
    <s v="OnePlus 12"/>
    <x v="0"/>
    <n v="1"/>
    <n v="58000"/>
    <x v="4"/>
    <x v="0"/>
    <n v="58000"/>
    <s v="Counted"/>
  </r>
  <r>
    <s v="FLP918"/>
    <d v="2026-12-04T00:00:00"/>
    <x v="2"/>
    <x v="0"/>
    <s v="CUST-1009"/>
    <s v="Prestige Mixer Grinder"/>
    <x v="4"/>
    <n v="1"/>
    <n v="3800"/>
    <x v="4"/>
    <x v="0"/>
    <n v="3800"/>
    <s v="Counted"/>
  </r>
  <r>
    <s v="FLP919"/>
    <d v="2026-12-04T00:00:00"/>
    <x v="2"/>
    <x v="0"/>
    <s v="CUST-927"/>
    <s v="Lenovo Tablet"/>
    <x v="0"/>
    <n v="1"/>
    <n v="18000"/>
    <x v="1"/>
    <x v="2"/>
    <n v="18000"/>
    <s v="Not Counted"/>
  </r>
  <r>
    <s v="FLP920"/>
    <d v="2026-12-04T00:00:00"/>
    <x v="2"/>
    <x v="3"/>
    <s v="CUST-1065"/>
    <s v="HP Pavilion Laptop"/>
    <x v="0"/>
    <n v="1"/>
    <n v="52000"/>
    <x v="3"/>
    <x v="0"/>
    <n v="52000"/>
    <s v="Counted"/>
  </r>
  <r>
    <s v="FLP921"/>
    <d v="2026-12-05T00:00:00"/>
    <x v="2"/>
    <x v="3"/>
    <s v="CUST-1013"/>
    <s v="Puma Running Shoes"/>
    <x v="3"/>
    <n v="1"/>
    <n v="3500"/>
    <x v="0"/>
    <x v="0"/>
    <n v="3500"/>
    <s v="Counted"/>
  </r>
  <r>
    <s v="FLP922"/>
    <d v="2026-12-05T00:00:00"/>
    <x v="2"/>
    <x v="1"/>
    <s v="CUST-1058"/>
    <s v="LG Microwave Oven"/>
    <x v="4"/>
    <n v="1"/>
    <n v="12500"/>
    <x v="4"/>
    <x v="2"/>
    <n v="12500"/>
    <s v="Not Counted"/>
  </r>
  <r>
    <s v="FLP923"/>
    <d v="2026-12-06T00:00:00"/>
    <x v="2"/>
    <x v="3"/>
    <s v="CUST-1093"/>
    <s v="OnePlus 12"/>
    <x v="0"/>
    <n v="2"/>
    <n v="58000"/>
    <x v="1"/>
    <x v="1"/>
    <n v="116000"/>
    <s v="Counted"/>
  </r>
  <r>
    <s v="FLP924"/>
    <d v="2026-12-06T00:00:00"/>
    <x v="2"/>
    <x v="2"/>
    <s v="CUST-936"/>
    <s v="Bookshelf Rack"/>
    <x v="1"/>
    <n v="3"/>
    <n v="6500"/>
    <x v="1"/>
    <x v="0"/>
    <n v="19500"/>
    <s v="Counted"/>
  </r>
  <r>
    <s v="FLP925"/>
    <d v="2026-12-06T00:00:00"/>
    <x v="2"/>
    <x v="2"/>
    <s v="CUST-1100"/>
    <s v="Lenovo Tablet"/>
    <x v="0"/>
    <n v="1"/>
    <n v="18000"/>
    <x v="3"/>
    <x v="0"/>
    <n v="18000"/>
    <s v="Counted"/>
  </r>
  <r>
    <s v="FLP926"/>
    <d v="2026-12-06T00:00:00"/>
    <x v="2"/>
    <x v="3"/>
    <s v="CUST-1033"/>
    <s v="Philips Air Fryer"/>
    <x v="4"/>
    <n v="2"/>
    <n v="8500"/>
    <x v="4"/>
    <x v="0"/>
    <n v="17000"/>
    <s v="Counted"/>
  </r>
  <r>
    <s v="FLP927"/>
    <d v="2026-12-06T00:00:00"/>
    <x v="2"/>
    <x v="0"/>
    <s v="CUST-962"/>
    <s v="King Size Bed Sheet"/>
    <x v="2"/>
    <n v="1"/>
    <n v="2400"/>
    <x v="0"/>
    <x v="0"/>
    <n v="2400"/>
    <s v="Counted"/>
  </r>
  <r>
    <s v="FLP928"/>
    <d v="2026-12-06T00:00:00"/>
    <x v="2"/>
    <x v="0"/>
    <s v="CUST-1036"/>
    <s v="Table Lamp"/>
    <x v="2"/>
    <n v="1"/>
    <n v="1800"/>
    <x v="3"/>
    <x v="0"/>
    <n v="1800"/>
    <s v="Counted"/>
  </r>
  <r>
    <s v="FLP929"/>
    <d v="2026-12-07T00:00:00"/>
    <x v="2"/>
    <x v="3"/>
    <s v="CUST-1000"/>
    <s v="Bookshelf Rack"/>
    <x v="1"/>
    <n v="3"/>
    <n v="6500"/>
    <x v="3"/>
    <x v="0"/>
    <n v="19500"/>
    <s v="Counted"/>
  </r>
  <r>
    <s v="FLP930"/>
    <d v="2026-12-07T00:00:00"/>
    <x v="2"/>
    <x v="3"/>
    <s v="CUST-1096"/>
    <s v="Bookshelf Rack"/>
    <x v="1"/>
    <n v="1"/>
    <n v="6500"/>
    <x v="0"/>
    <x v="3"/>
    <n v="6500"/>
    <s v="Not Counted"/>
  </r>
  <r>
    <s v="FLP931"/>
    <d v="2026-12-07T00:00:00"/>
    <x v="2"/>
    <x v="0"/>
    <s v="CUST-904"/>
    <s v="OnePlus 12"/>
    <x v="0"/>
    <n v="1"/>
    <n v="58000"/>
    <x v="1"/>
    <x v="0"/>
    <n v="58000"/>
    <s v="Counted"/>
  </r>
  <r>
    <s v="FLP932"/>
    <d v="2026-12-08T00:00:00"/>
    <x v="2"/>
    <x v="1"/>
    <s v="CUST-1030"/>
    <s v="Samsung Galaxy S24"/>
    <x v="0"/>
    <n v="2"/>
    <n v="62000"/>
    <x v="1"/>
    <x v="1"/>
    <n v="124000"/>
    <s v="Counted"/>
  </r>
  <r>
    <s v="FLP933"/>
    <d v="2026-12-08T00:00:00"/>
    <x v="2"/>
    <x v="1"/>
    <s v="CUST-922"/>
    <s v="Dyson Vacuum Cleaner"/>
    <x v="4"/>
    <n v="1"/>
    <n v="22000"/>
    <x v="4"/>
    <x v="0"/>
    <n v="22000"/>
    <s v="Counted"/>
  </r>
  <r>
    <s v="FLP934"/>
    <d v="2026-12-08T00:00:00"/>
    <x v="2"/>
    <x v="2"/>
    <s v="CUST-921"/>
    <s v="HP Pavilion Laptop"/>
    <x v="0"/>
    <n v="1"/>
    <n v="52000"/>
    <x v="0"/>
    <x v="0"/>
    <n v="52000"/>
    <s v="Counted"/>
  </r>
  <r>
    <s v="FLP935"/>
    <d v="2026-12-08T00:00:00"/>
    <x v="2"/>
    <x v="1"/>
    <s v="CUST-1051"/>
    <s v="HP Pavilion Laptop"/>
    <x v="0"/>
    <n v="1"/>
    <n v="52000"/>
    <x v="4"/>
    <x v="2"/>
    <n v="52000"/>
    <s v="Not Counted"/>
  </r>
  <r>
    <s v="FLP936"/>
    <d v="2026-12-08T00:00:00"/>
    <x v="2"/>
    <x v="2"/>
    <s v="CUST-1079"/>
    <s v="Philips Air Fryer"/>
    <x v="4"/>
    <n v="1"/>
    <n v="8500"/>
    <x v="0"/>
    <x v="3"/>
    <n v="8500"/>
    <s v="Not Counted"/>
  </r>
  <r>
    <s v="FLP937"/>
    <d v="2026-12-08T00:00:00"/>
    <x v="2"/>
    <x v="0"/>
    <s v="CUST-1012"/>
    <s v="Lenovo Tablet"/>
    <x v="0"/>
    <n v="1"/>
    <n v="18000"/>
    <x v="1"/>
    <x v="0"/>
    <n v="18000"/>
    <s v="Counted"/>
  </r>
  <r>
    <s v="FLP938"/>
    <d v="2026-12-08T00:00:00"/>
    <x v="2"/>
    <x v="3"/>
    <s v="CUST-931"/>
    <s v="Samsung Galaxy S24"/>
    <x v="0"/>
    <n v="1"/>
    <n v="62000"/>
    <x v="1"/>
    <x v="0"/>
    <n v="62000"/>
    <s v="Counted"/>
  </r>
  <r>
    <s v="FLP939"/>
    <d v="2026-12-08T00:00:00"/>
    <x v="2"/>
    <x v="2"/>
    <s v="CUST-1034"/>
    <s v="Apple iPhone 15"/>
    <x v="0"/>
    <n v="1"/>
    <n v="65000"/>
    <x v="0"/>
    <x v="2"/>
    <n v="65000"/>
    <s v="Not Counted"/>
  </r>
  <r>
    <s v="FLP940"/>
    <d v="2026-12-09T00:00:00"/>
    <x v="2"/>
    <x v="3"/>
    <s v="CUST-1092"/>
    <s v="Ergonomic Office Chair"/>
    <x v="1"/>
    <n v="1"/>
    <n v="12000"/>
    <x v="2"/>
    <x v="0"/>
    <n v="12000"/>
    <s v="Counted"/>
  </r>
  <r>
    <s v="FLP941"/>
    <d v="2026-12-09T00:00:00"/>
    <x v="2"/>
    <x v="0"/>
    <s v="CUST-986"/>
    <s v="Mi Smart TV 43"/>
    <x v="0"/>
    <n v="1"/>
    <n v="24000"/>
    <x v="2"/>
    <x v="0"/>
    <n v="24000"/>
    <s v="Counted"/>
  </r>
  <r>
    <s v="FLP942"/>
    <d v="2026-12-09T00:00:00"/>
    <x v="2"/>
    <x v="0"/>
    <s v="CUST-1028"/>
    <s v="OnePlus 12"/>
    <x v="0"/>
    <n v="1"/>
    <n v="58000"/>
    <x v="0"/>
    <x v="0"/>
    <n v="58000"/>
    <s v="Counted"/>
  </r>
  <r>
    <s v="FLP943"/>
    <d v="2026-12-09T00:00:00"/>
    <x v="2"/>
    <x v="3"/>
    <s v="CUST-995"/>
    <s v="Table Lamp"/>
    <x v="2"/>
    <n v="2"/>
    <n v="1800"/>
    <x v="1"/>
    <x v="1"/>
    <n v="3600"/>
    <s v="Counted"/>
  </r>
  <r>
    <s v="FLP944"/>
    <d v="2026-12-09T00:00:00"/>
    <x v="2"/>
    <x v="0"/>
    <s v="CUST-959"/>
    <s v="Levis Jeans"/>
    <x v="3"/>
    <n v="1"/>
    <n v="2800"/>
    <x v="2"/>
    <x v="0"/>
    <n v="2800"/>
    <s v="Counted"/>
  </r>
  <r>
    <s v="FLP945"/>
    <d v="2026-12-09T00:00:00"/>
    <x v="2"/>
    <x v="1"/>
    <s v="CUST-994"/>
    <s v="Apple iPhone 15"/>
    <x v="0"/>
    <n v="1"/>
    <n v="65000"/>
    <x v="0"/>
    <x v="0"/>
    <n v="65000"/>
    <s v="Counted"/>
  </r>
  <r>
    <s v="FLP946"/>
    <d v="2026-12-09T00:00:00"/>
    <x v="2"/>
    <x v="1"/>
    <s v="CUST-958"/>
    <s v="Samsung Galaxy S24"/>
    <x v="0"/>
    <n v="1"/>
    <n v="62000"/>
    <x v="1"/>
    <x v="0"/>
    <n v="62000"/>
    <s v="Counted"/>
  </r>
  <r>
    <s v="FLP947"/>
    <d v="2026-12-10T00:00:00"/>
    <x v="2"/>
    <x v="0"/>
    <s v="CUST-1047"/>
    <s v="LG Microwave Oven"/>
    <x v="4"/>
    <n v="1"/>
    <n v="12500"/>
    <x v="0"/>
    <x v="0"/>
    <n v="12500"/>
    <s v="Counted"/>
  </r>
  <r>
    <s v="FLP948"/>
    <d v="2026-12-10T00:00:00"/>
    <x v="2"/>
    <x v="0"/>
    <s v="CUST-1003"/>
    <s v="Samsung Galaxy S24"/>
    <x v="0"/>
    <n v="1"/>
    <n v="62000"/>
    <x v="1"/>
    <x v="0"/>
    <n v="62000"/>
    <s v="Counted"/>
  </r>
  <r>
    <s v="FLP949"/>
    <d v="2026-12-10T00:00:00"/>
    <x v="2"/>
    <x v="2"/>
    <s v="CUST-984"/>
    <s v="Wooden Study Table"/>
    <x v="1"/>
    <n v="2"/>
    <n v="9500"/>
    <x v="1"/>
    <x v="0"/>
    <n v="19000"/>
    <s v="Counted"/>
  </r>
  <r>
    <s v="FLP950"/>
    <d v="2026-12-11T00:00:00"/>
    <x v="2"/>
    <x v="2"/>
    <s v="CUST-1090"/>
    <s v="Bookshelf Rack"/>
    <x v="1"/>
    <n v="1"/>
    <n v="6500"/>
    <x v="4"/>
    <x v="0"/>
    <n v="6500"/>
    <s v="Counted"/>
  </r>
  <r>
    <s v="FLP951"/>
    <d v="2026-12-11T00:00:00"/>
    <x v="2"/>
    <x v="3"/>
    <s v="CUST-1088"/>
    <s v="Levis Jeans"/>
    <x v="3"/>
    <n v="3"/>
    <n v="2800"/>
    <x v="3"/>
    <x v="1"/>
    <n v="8400"/>
    <s v="Counted"/>
  </r>
  <r>
    <s v="FLP952"/>
    <d v="2026-12-11T00:00:00"/>
    <x v="2"/>
    <x v="1"/>
    <s v="CUST-907"/>
    <s v="Lenovo Tablet"/>
    <x v="0"/>
    <n v="1"/>
    <n v="18000"/>
    <x v="1"/>
    <x v="0"/>
    <n v="18000"/>
    <s v="Counted"/>
  </r>
  <r>
    <s v="FLP953"/>
    <d v="2026-12-11T00:00:00"/>
    <x v="2"/>
    <x v="2"/>
    <s v="CUST-901"/>
    <s v="Prestige Mixer Grinder"/>
    <x v="4"/>
    <n v="2"/>
    <n v="3800"/>
    <x v="2"/>
    <x v="0"/>
    <n v="7600"/>
    <s v="Counted"/>
  </r>
  <r>
    <s v="FLP954"/>
    <d v="2026-12-11T00:00:00"/>
    <x v="2"/>
    <x v="0"/>
    <s v="CUST-953"/>
    <s v="LG Microwave Oven"/>
    <x v="4"/>
    <n v="1"/>
    <n v="12500"/>
    <x v="0"/>
    <x v="0"/>
    <n v="12500"/>
    <s v="Counted"/>
  </r>
  <r>
    <s v="FLP955"/>
    <d v="2026-12-12T00:00:00"/>
    <x v="2"/>
    <x v="3"/>
    <s v="CUST-1083"/>
    <s v="Table Lamp"/>
    <x v="2"/>
    <n v="3"/>
    <n v="1800"/>
    <x v="1"/>
    <x v="0"/>
    <n v="5400"/>
    <s v="Counted"/>
  </r>
  <r>
    <s v="FLP956"/>
    <d v="2026-12-12T00:00:00"/>
    <x v="2"/>
    <x v="1"/>
    <s v="CUST-1080"/>
    <s v="Lenovo Tablet"/>
    <x v="0"/>
    <n v="2"/>
    <n v="18000"/>
    <x v="3"/>
    <x v="0"/>
    <n v="36000"/>
    <s v="Counted"/>
  </r>
  <r>
    <s v="FLP957"/>
    <d v="2026-12-12T00:00:00"/>
    <x v="2"/>
    <x v="0"/>
    <s v="CUST-1030"/>
    <s v="LG Microwave Oven"/>
    <x v="4"/>
    <n v="1"/>
    <n v="12500"/>
    <x v="1"/>
    <x v="1"/>
    <n v="12500"/>
    <s v="Counted"/>
  </r>
  <r>
    <s v="FLP958"/>
    <d v="2026-12-12T00:00:00"/>
    <x v="2"/>
    <x v="0"/>
    <s v="CUST-1012"/>
    <s v="OnePlus 12"/>
    <x v="0"/>
    <n v="1"/>
    <n v="58000"/>
    <x v="4"/>
    <x v="0"/>
    <n v="58000"/>
    <s v="Counted"/>
  </r>
  <r>
    <s v="FLP959"/>
    <d v="2026-12-12T00:00:00"/>
    <x v="2"/>
    <x v="2"/>
    <s v="CUST-1001"/>
    <s v="Wooden Study Table"/>
    <x v="1"/>
    <n v="1"/>
    <n v="9500"/>
    <x v="4"/>
    <x v="1"/>
    <n v="9500"/>
    <s v="Counted"/>
  </r>
  <r>
    <s v="FLP960"/>
    <d v="2026-12-12T00:00:00"/>
    <x v="2"/>
    <x v="3"/>
    <s v="CUST-920"/>
    <s v="3-Seater Sofa"/>
    <x v="1"/>
    <n v="1"/>
    <n v="28000"/>
    <x v="3"/>
    <x v="0"/>
    <n v="28000"/>
    <s v="Counted"/>
  </r>
  <r>
    <s v="FLP961"/>
    <d v="2026-12-12T00:00:00"/>
    <x v="2"/>
    <x v="3"/>
    <s v="CUST-928"/>
    <s v="Dyson Vacuum Cleaner"/>
    <x v="4"/>
    <n v="1"/>
    <n v="22000"/>
    <x v="1"/>
    <x v="0"/>
    <n v="22000"/>
    <s v="Counted"/>
  </r>
  <r>
    <s v="FLP962"/>
    <d v="2026-12-12T00:00:00"/>
    <x v="2"/>
    <x v="2"/>
    <s v="CUST-1098"/>
    <s v="Wall Clock"/>
    <x v="2"/>
    <n v="1"/>
    <n v="1500"/>
    <x v="1"/>
    <x v="0"/>
    <n v="1500"/>
    <s v="Counted"/>
  </r>
  <r>
    <s v="FLP963"/>
    <d v="2026-12-12T00:00:00"/>
    <x v="2"/>
    <x v="0"/>
    <s v="CUST-941"/>
    <s v="Ergonomic Office Chair"/>
    <x v="1"/>
    <n v="1"/>
    <n v="12000"/>
    <x v="2"/>
    <x v="0"/>
    <n v="12000"/>
    <s v="Counted"/>
  </r>
  <r>
    <s v="FLP964"/>
    <d v="2026-12-13T00:00:00"/>
    <x v="2"/>
    <x v="0"/>
    <s v="CUST-956"/>
    <s v="Prestige Mixer Grinder"/>
    <x v="4"/>
    <n v="1"/>
    <n v="3800"/>
    <x v="3"/>
    <x v="0"/>
    <n v="3800"/>
    <s v="Counted"/>
  </r>
  <r>
    <s v="FLP965"/>
    <d v="2026-12-13T00:00:00"/>
    <x v="2"/>
    <x v="2"/>
    <s v="CUST-1002"/>
    <s v="OnePlus 12"/>
    <x v="0"/>
    <n v="1"/>
    <n v="58000"/>
    <x v="0"/>
    <x v="0"/>
    <n v="58000"/>
    <s v="Counted"/>
  </r>
  <r>
    <s v="FLP966"/>
    <d v="2026-12-13T00:00:00"/>
    <x v="2"/>
    <x v="3"/>
    <s v="CUST-908"/>
    <s v="Ergonomic Office Chair"/>
    <x v="1"/>
    <n v="1"/>
    <n v="12000"/>
    <x v="3"/>
    <x v="2"/>
    <n v="12000"/>
    <s v="Not Counted"/>
  </r>
  <r>
    <s v="FLP967"/>
    <d v="2026-12-13T00:00:00"/>
    <x v="2"/>
    <x v="3"/>
    <s v="CUST-925"/>
    <s v="Adidas Sports Jacket"/>
    <x v="3"/>
    <n v="2"/>
    <n v="5000"/>
    <x v="0"/>
    <x v="1"/>
    <n v="10000"/>
    <s v="Counted"/>
  </r>
  <r>
    <s v="FLP968"/>
    <d v="2026-12-13T00:00:00"/>
    <x v="2"/>
    <x v="0"/>
    <s v="CUST-1100"/>
    <s v="HP Pavilion Laptop"/>
    <x v="0"/>
    <n v="1"/>
    <n v="52000"/>
    <x v="3"/>
    <x v="0"/>
    <n v="52000"/>
    <s v="Counted"/>
  </r>
  <r>
    <s v="FLP969"/>
    <d v="2026-12-13T00:00:00"/>
    <x v="2"/>
    <x v="0"/>
    <s v="CUST-1050"/>
    <s v="King Size Bed Sheet"/>
    <x v="2"/>
    <n v="1"/>
    <n v="2400"/>
    <x v="4"/>
    <x v="2"/>
    <n v="2400"/>
    <s v="Not Counted"/>
  </r>
  <r>
    <s v="FLP970"/>
    <d v="2026-12-13T00:00:00"/>
    <x v="2"/>
    <x v="0"/>
    <s v="CUST-951"/>
    <s v="OnePlus 12"/>
    <x v="0"/>
    <n v="1"/>
    <n v="58000"/>
    <x v="3"/>
    <x v="0"/>
    <n v="58000"/>
    <s v="Counted"/>
  </r>
  <r>
    <s v="FLP971"/>
    <d v="2026-12-13T00:00:00"/>
    <x v="2"/>
    <x v="2"/>
    <s v="CUST-932"/>
    <s v="HP Pavilion Laptop"/>
    <x v="0"/>
    <n v="1"/>
    <n v="52000"/>
    <x v="1"/>
    <x v="0"/>
    <n v="52000"/>
    <s v="Counted"/>
  </r>
  <r>
    <s v="FLP972"/>
    <d v="2026-12-13T00:00:00"/>
    <x v="2"/>
    <x v="1"/>
    <s v="CUST-1086"/>
    <s v="Boat Airdopes"/>
    <x v="0"/>
    <n v="3"/>
    <n v="1800"/>
    <x v="0"/>
    <x v="0"/>
    <n v="5400"/>
    <s v="Counted"/>
  </r>
  <r>
    <s v="FLP973"/>
    <d v="2026-12-14T00:00:00"/>
    <x v="2"/>
    <x v="2"/>
    <s v="CUST-955"/>
    <s v="Philips Air Fryer"/>
    <x v="4"/>
    <n v="1"/>
    <n v="8500"/>
    <x v="3"/>
    <x v="0"/>
    <n v="8500"/>
    <s v="Counted"/>
  </r>
  <r>
    <s v="FLP974"/>
    <d v="2026-12-14T00:00:00"/>
    <x v="2"/>
    <x v="0"/>
    <s v="CUST-1058"/>
    <s v="Curtain Set"/>
    <x v="2"/>
    <n v="2"/>
    <n v="2200"/>
    <x v="4"/>
    <x v="0"/>
    <n v="4400"/>
    <s v="Counted"/>
  </r>
  <r>
    <s v="FLP975"/>
    <d v="2026-12-14T00:00:00"/>
    <x v="2"/>
    <x v="1"/>
    <s v="CUST-916"/>
    <s v="Wooden Study Table"/>
    <x v="1"/>
    <n v="1"/>
    <n v="9500"/>
    <x v="1"/>
    <x v="0"/>
    <n v="9500"/>
    <s v="Counted"/>
  </r>
  <r>
    <s v="FLP976"/>
    <d v="2026-12-14T00:00:00"/>
    <x v="2"/>
    <x v="3"/>
    <s v="CUST-1062"/>
    <s v="Wall Clock"/>
    <x v="2"/>
    <n v="1"/>
    <n v="1500"/>
    <x v="3"/>
    <x v="0"/>
    <n v="1500"/>
    <s v="Counted"/>
  </r>
  <r>
    <s v="FLP977"/>
    <d v="2026-12-14T00:00:00"/>
    <x v="2"/>
    <x v="2"/>
    <s v="CUST-1023"/>
    <s v="Apple iPhone 15"/>
    <x v="0"/>
    <n v="2"/>
    <n v="65000"/>
    <x v="0"/>
    <x v="0"/>
    <n v="130000"/>
    <s v="Counted"/>
  </r>
  <r>
    <s v="FLP978"/>
    <d v="2026-12-14T00:00:00"/>
    <x v="2"/>
    <x v="1"/>
    <s v="CUST-970"/>
    <s v="Levis Jeans"/>
    <x v="3"/>
    <n v="1"/>
    <n v="2800"/>
    <x v="1"/>
    <x v="0"/>
    <n v="2800"/>
    <s v="Counted"/>
  </r>
  <r>
    <s v="FLP979"/>
    <d v="2026-12-14T00:00:00"/>
    <x v="2"/>
    <x v="2"/>
    <s v="CUST-915"/>
    <s v="Lenovo Tablet"/>
    <x v="0"/>
    <n v="1"/>
    <n v="18000"/>
    <x v="2"/>
    <x v="0"/>
    <n v="18000"/>
    <s v="Counted"/>
  </r>
  <r>
    <s v="FLP980"/>
    <d v="2026-12-14T00:00:00"/>
    <x v="2"/>
    <x v="3"/>
    <s v="CUST-941"/>
    <s v="Bookshelf Rack"/>
    <x v="1"/>
    <n v="2"/>
    <n v="6500"/>
    <x v="1"/>
    <x v="0"/>
    <n v="13000"/>
    <s v="Counted"/>
  </r>
  <r>
    <s v="FLP981"/>
    <d v="2026-12-14T00:00:00"/>
    <x v="2"/>
    <x v="0"/>
    <s v="CUST-1096"/>
    <s v="Ergonomic Office Chair"/>
    <x v="1"/>
    <n v="1"/>
    <n v="12000"/>
    <x v="3"/>
    <x v="0"/>
    <n v="12000"/>
    <s v="Counted"/>
  </r>
  <r>
    <s v="FLP982"/>
    <d v="2026-12-14T00:00:00"/>
    <x v="2"/>
    <x v="3"/>
    <s v="CUST-946"/>
    <s v="King Size Bed Sheet"/>
    <x v="2"/>
    <n v="1"/>
    <n v="2400"/>
    <x v="1"/>
    <x v="0"/>
    <n v="2400"/>
    <s v="Counted"/>
  </r>
  <r>
    <s v="FLP983"/>
    <d v="2026-12-14T00:00:00"/>
    <x v="2"/>
    <x v="0"/>
    <s v="CUST-1081"/>
    <s v="LG Microwave Oven"/>
    <x v="4"/>
    <n v="1"/>
    <n v="12500"/>
    <x v="4"/>
    <x v="3"/>
    <n v="12500"/>
    <s v="Not Counted"/>
  </r>
  <r>
    <s v="FLP984"/>
    <d v="2026-12-15T00:00:00"/>
    <x v="2"/>
    <x v="3"/>
    <s v="CUST-1027"/>
    <s v="Levis Jeans"/>
    <x v="3"/>
    <n v="1"/>
    <n v="2800"/>
    <x v="0"/>
    <x v="0"/>
    <n v="2800"/>
    <s v="Counted"/>
  </r>
  <r>
    <s v="FLP985"/>
    <d v="2026-12-15T00:00:00"/>
    <x v="2"/>
    <x v="3"/>
    <s v="CUST-1055"/>
    <s v="Samsung Galaxy S24"/>
    <x v="0"/>
    <n v="1"/>
    <n v="62000"/>
    <x v="1"/>
    <x v="0"/>
    <n v="62000"/>
    <s v="Counted"/>
  </r>
  <r>
    <s v="FLP986"/>
    <d v="2026-12-15T00:00:00"/>
    <x v="2"/>
    <x v="3"/>
    <s v="CUST-934"/>
    <s v="Apple iPhone 15"/>
    <x v="0"/>
    <n v="1"/>
    <n v="65000"/>
    <x v="1"/>
    <x v="0"/>
    <n v="65000"/>
    <s v="Counted"/>
  </r>
  <r>
    <s v="FLP987"/>
    <d v="2026-12-15T00:00:00"/>
    <x v="2"/>
    <x v="3"/>
    <s v="CUST-1051"/>
    <s v="3-Seater Sofa"/>
    <x v="1"/>
    <n v="1"/>
    <n v="28000"/>
    <x v="4"/>
    <x v="0"/>
    <n v="28000"/>
    <s v="Counted"/>
  </r>
  <r>
    <s v="FLP988"/>
    <d v="2026-12-15T00:00:00"/>
    <x v="2"/>
    <x v="2"/>
    <s v="CUST-919"/>
    <s v="Mi Smart TV 43"/>
    <x v="0"/>
    <n v="1"/>
    <n v="24000"/>
    <x v="0"/>
    <x v="3"/>
    <n v="24000"/>
    <s v="Not Counted"/>
  </r>
  <r>
    <s v="FLP989"/>
    <d v="2026-12-15T00:00:00"/>
    <x v="2"/>
    <x v="2"/>
    <s v="CUST-978"/>
    <s v="King Size Bed Sheet"/>
    <x v="2"/>
    <n v="1"/>
    <n v="2400"/>
    <x v="1"/>
    <x v="3"/>
    <n v="2400"/>
    <s v="Not Counted"/>
  </r>
  <r>
    <s v="FLP990"/>
    <d v="2026-12-16T00:00:00"/>
    <x v="2"/>
    <x v="1"/>
    <s v="CUST-1067"/>
    <s v="LG Microwave Oven"/>
    <x v="4"/>
    <n v="2"/>
    <n v="12500"/>
    <x v="1"/>
    <x v="1"/>
    <n v="25000"/>
    <s v="Counted"/>
  </r>
  <r>
    <s v="FLP991"/>
    <d v="2026-12-16T00:00:00"/>
    <x v="2"/>
    <x v="2"/>
    <s v="CUST-958"/>
    <s v="Adidas Sports Jacket"/>
    <x v="3"/>
    <n v="1"/>
    <n v="5000"/>
    <x v="4"/>
    <x v="1"/>
    <n v="5000"/>
    <s v="Counted"/>
  </r>
  <r>
    <s v="FLP992"/>
    <d v="2026-12-16T00:00:00"/>
    <x v="2"/>
    <x v="2"/>
    <s v="CUST-933"/>
    <s v="King Size Bed Sheet"/>
    <x v="2"/>
    <n v="1"/>
    <n v="2400"/>
    <x v="1"/>
    <x v="0"/>
    <n v="2400"/>
    <s v="Counted"/>
  </r>
  <r>
    <s v="FLP993"/>
    <d v="2026-12-16T00:00:00"/>
    <x v="2"/>
    <x v="1"/>
    <s v="CUST-1098"/>
    <s v="Prestige Mixer Grinder"/>
    <x v="4"/>
    <n v="3"/>
    <n v="3800"/>
    <x v="3"/>
    <x v="0"/>
    <n v="11400"/>
    <s v="Counted"/>
  </r>
  <r>
    <s v="FLP994"/>
    <d v="2026-12-16T00:00:00"/>
    <x v="2"/>
    <x v="3"/>
    <s v="CUST-1064"/>
    <s v="Nike T-Shirt"/>
    <x v="3"/>
    <n v="1"/>
    <n v="1600"/>
    <x v="0"/>
    <x v="3"/>
    <n v="1600"/>
    <s v="Not Counted"/>
  </r>
  <r>
    <s v="FLP995"/>
    <d v="2026-12-16T00:00:00"/>
    <x v="2"/>
    <x v="0"/>
    <s v="CUST-961"/>
    <s v="HP Pavilion Laptop"/>
    <x v="0"/>
    <n v="1"/>
    <n v="52000"/>
    <x v="1"/>
    <x v="0"/>
    <n v="52000"/>
    <s v="Counted"/>
  </r>
  <r>
    <s v="FLP996"/>
    <d v="2026-12-17T00:00:00"/>
    <x v="2"/>
    <x v="0"/>
    <s v="CUST-1082"/>
    <s v="Fossil Watch"/>
    <x v="3"/>
    <n v="2"/>
    <n v="7500"/>
    <x v="4"/>
    <x v="1"/>
    <n v="15000"/>
    <s v="Counted"/>
  </r>
  <r>
    <s v="FLP997"/>
    <d v="2026-12-17T00:00:00"/>
    <x v="2"/>
    <x v="2"/>
    <s v="CUST-954"/>
    <s v="3-Seater Sofa"/>
    <x v="1"/>
    <n v="1"/>
    <n v="28000"/>
    <x v="1"/>
    <x v="0"/>
    <n v="28000"/>
    <s v="Counted"/>
  </r>
  <r>
    <s v="FLP998"/>
    <d v="2026-12-17T00:00:00"/>
    <x v="2"/>
    <x v="0"/>
    <s v="CUST-913"/>
    <s v="Ergonomic Office Chair"/>
    <x v="1"/>
    <n v="1"/>
    <n v="12000"/>
    <x v="0"/>
    <x v="1"/>
    <n v="12000"/>
    <s v="Counted"/>
  </r>
  <r>
    <s v="FLP999"/>
    <d v="2026-12-17T00:00:00"/>
    <x v="2"/>
    <x v="1"/>
    <s v="CUST-997"/>
    <s v="Boat Airdopes"/>
    <x v="0"/>
    <n v="2"/>
    <n v="1800"/>
    <x v="0"/>
    <x v="0"/>
    <n v="3600"/>
    <s v="Counted"/>
  </r>
  <r>
    <s v="FLP1000"/>
    <d v="2026-12-17T00:00:00"/>
    <x v="2"/>
    <x v="3"/>
    <s v="CUST-942"/>
    <s v="Table Lamp"/>
    <x v="2"/>
    <n v="2"/>
    <n v="1800"/>
    <x v="0"/>
    <x v="1"/>
    <n v="3600"/>
    <s v="Counted"/>
  </r>
  <r>
    <s v="FLP1001"/>
    <d v="2026-12-18T00:00:00"/>
    <x v="2"/>
    <x v="2"/>
    <s v="CUST-967"/>
    <s v="Samsung Galaxy S24"/>
    <x v="0"/>
    <n v="1"/>
    <n v="62000"/>
    <x v="3"/>
    <x v="0"/>
    <n v="62000"/>
    <s v="Counted"/>
  </r>
  <r>
    <s v="FLP1002"/>
    <d v="2026-12-18T00:00:00"/>
    <x v="2"/>
    <x v="3"/>
    <s v="CUST-1088"/>
    <s v="Boat Airdopes"/>
    <x v="0"/>
    <n v="2"/>
    <n v="1800"/>
    <x v="1"/>
    <x v="3"/>
    <n v="3600"/>
    <s v="Not Counted"/>
  </r>
  <r>
    <s v="FLP1003"/>
    <d v="2026-12-18T00:00:00"/>
    <x v="2"/>
    <x v="1"/>
    <s v="CUST-1081"/>
    <s v="OnePlus 12"/>
    <x v="0"/>
    <n v="1"/>
    <n v="58000"/>
    <x v="1"/>
    <x v="3"/>
    <n v="58000"/>
    <s v="Not Counted"/>
  </r>
  <r>
    <s v="FLP1004"/>
    <d v="2026-12-18T00:00:00"/>
    <x v="2"/>
    <x v="1"/>
    <s v="CUST-941"/>
    <s v="Boat Airdopes"/>
    <x v="0"/>
    <n v="1"/>
    <n v="1800"/>
    <x v="1"/>
    <x v="0"/>
    <n v="1800"/>
    <s v="Counted"/>
  </r>
  <r>
    <s v="FLP1005"/>
    <d v="2026-12-18T00:00:00"/>
    <x v="2"/>
    <x v="2"/>
    <s v="CUST-1070"/>
    <s v="Sony Headphones"/>
    <x v="0"/>
    <n v="1"/>
    <n v="9500"/>
    <x v="1"/>
    <x v="0"/>
    <n v="9500"/>
    <s v="Counted"/>
  </r>
  <r>
    <s v="FLP1006"/>
    <d v="2026-12-18T00:00:00"/>
    <x v="2"/>
    <x v="1"/>
    <s v="CUST-940"/>
    <s v="Samsung Galaxy S24"/>
    <x v="0"/>
    <n v="1"/>
    <n v="62000"/>
    <x v="1"/>
    <x v="0"/>
    <n v="62000"/>
    <s v="Counted"/>
  </r>
  <r>
    <s v="FLP1007"/>
    <d v="2026-12-18T00:00:00"/>
    <x v="2"/>
    <x v="1"/>
    <s v="CUST-952"/>
    <s v="OnePlus 12"/>
    <x v="0"/>
    <n v="1"/>
    <n v="58000"/>
    <x v="1"/>
    <x v="0"/>
    <n v="58000"/>
    <s v="Counted"/>
  </r>
  <r>
    <s v="FLP1008"/>
    <d v="2026-12-18T00:00:00"/>
    <x v="2"/>
    <x v="0"/>
    <s v="CUST-1022"/>
    <s v="Fossil Watch"/>
    <x v="3"/>
    <n v="1"/>
    <n v="7500"/>
    <x v="3"/>
    <x v="0"/>
    <n v="7500"/>
    <s v="Counted"/>
  </r>
  <r>
    <s v="FLP1009"/>
    <d v="2026-12-18T00:00:00"/>
    <x v="2"/>
    <x v="2"/>
    <s v="CUST-924"/>
    <s v="King Size Bed Sheet"/>
    <x v="2"/>
    <n v="1"/>
    <n v="2400"/>
    <x v="4"/>
    <x v="0"/>
    <n v="2400"/>
    <s v="Counted"/>
  </r>
  <r>
    <s v="FLP1010"/>
    <d v="2026-12-19T00:00:00"/>
    <x v="2"/>
    <x v="2"/>
    <s v="CUST-948"/>
    <s v="Bookshelf Rack"/>
    <x v="1"/>
    <n v="2"/>
    <n v="6500"/>
    <x v="0"/>
    <x v="0"/>
    <n v="13000"/>
    <s v="Counted"/>
  </r>
  <r>
    <s v="FLP1011"/>
    <d v="2026-12-19T00:00:00"/>
    <x v="2"/>
    <x v="2"/>
    <s v="CUST-1045"/>
    <s v="Curtain Set"/>
    <x v="2"/>
    <n v="1"/>
    <n v="2200"/>
    <x v="1"/>
    <x v="1"/>
    <n v="2200"/>
    <s v="Counted"/>
  </r>
  <r>
    <s v="FLP1012"/>
    <d v="2026-12-19T00:00:00"/>
    <x v="2"/>
    <x v="2"/>
    <s v="CUST-1039"/>
    <s v="Philips Air Fryer"/>
    <x v="4"/>
    <n v="1"/>
    <n v="8500"/>
    <x v="0"/>
    <x v="1"/>
    <n v="8500"/>
    <s v="Counted"/>
  </r>
  <r>
    <s v="FLP1013"/>
    <d v="2026-12-19T00:00:00"/>
    <x v="2"/>
    <x v="1"/>
    <s v="CUST-1034"/>
    <s v="Lenovo Tablet"/>
    <x v="0"/>
    <n v="1"/>
    <n v="18000"/>
    <x v="0"/>
    <x v="0"/>
    <n v="18000"/>
    <s v="Counted"/>
  </r>
  <r>
    <s v="FLP1014"/>
    <d v="2026-12-20T00:00:00"/>
    <x v="2"/>
    <x v="3"/>
    <s v="CUST-1022"/>
    <s v="Table Lamp"/>
    <x v="2"/>
    <n v="1"/>
    <n v="1800"/>
    <x v="1"/>
    <x v="0"/>
    <n v="1800"/>
    <s v="Counted"/>
  </r>
  <r>
    <s v="FLP1015"/>
    <d v="2026-12-20T00:00:00"/>
    <x v="2"/>
    <x v="3"/>
    <s v="CUST-931"/>
    <s v="Prestige Mixer Grinder"/>
    <x v="4"/>
    <n v="1"/>
    <n v="3800"/>
    <x v="3"/>
    <x v="0"/>
    <n v="3800"/>
    <s v="Counted"/>
  </r>
  <r>
    <s v="FLP1016"/>
    <d v="2026-12-20T00:00:00"/>
    <x v="2"/>
    <x v="3"/>
    <s v="CUST-933"/>
    <s v="Boat Airdopes"/>
    <x v="0"/>
    <n v="3"/>
    <n v="1800"/>
    <x v="1"/>
    <x v="0"/>
    <n v="5400"/>
    <s v="Counted"/>
  </r>
  <r>
    <s v="FLP1017"/>
    <d v="2026-12-20T00:00:00"/>
    <x v="2"/>
    <x v="3"/>
    <s v="CUST-1053"/>
    <s v="Philips Air Fryer"/>
    <x v="4"/>
    <n v="1"/>
    <n v="8500"/>
    <x v="1"/>
    <x v="2"/>
    <n v="8500"/>
    <s v="Not Counted"/>
  </r>
  <r>
    <s v="FLP1018"/>
    <d v="2026-12-20T00:00:00"/>
    <x v="2"/>
    <x v="1"/>
    <s v="CUST-1042"/>
    <s v="OnePlus 12"/>
    <x v="0"/>
    <n v="1"/>
    <n v="58000"/>
    <x v="1"/>
    <x v="0"/>
    <n v="58000"/>
    <s v="Counted"/>
  </r>
  <r>
    <s v="FLP1019"/>
    <d v="2026-12-20T00:00:00"/>
    <x v="2"/>
    <x v="0"/>
    <s v="CUST-1080"/>
    <s v="Curtain Set"/>
    <x v="2"/>
    <n v="2"/>
    <n v="2200"/>
    <x v="4"/>
    <x v="0"/>
    <n v="4400"/>
    <s v="Counted"/>
  </r>
  <r>
    <s v="FLP1020"/>
    <d v="2026-12-21T00:00:00"/>
    <x v="2"/>
    <x v="3"/>
    <s v="CUST-938"/>
    <s v="Wall Clock"/>
    <x v="2"/>
    <n v="1"/>
    <n v="1500"/>
    <x v="0"/>
    <x v="0"/>
    <n v="1500"/>
    <s v="Counted"/>
  </r>
  <r>
    <s v="FLP1021"/>
    <d v="2026-12-21T00:00:00"/>
    <x v="2"/>
    <x v="0"/>
    <s v="CUST-974"/>
    <s v="Mi Smart TV 43"/>
    <x v="0"/>
    <n v="2"/>
    <n v="24000"/>
    <x v="3"/>
    <x v="2"/>
    <n v="48000"/>
    <s v="Not Counted"/>
  </r>
  <r>
    <s v="FLP1022"/>
    <d v="2026-12-21T00:00:00"/>
    <x v="2"/>
    <x v="1"/>
    <s v="CUST-1047"/>
    <s v="Wall Clock"/>
    <x v="2"/>
    <n v="1"/>
    <n v="1500"/>
    <x v="4"/>
    <x v="0"/>
    <n v="1500"/>
    <s v="Counted"/>
  </r>
  <r>
    <s v="FLP1023"/>
    <d v="2026-12-21T00:00:00"/>
    <x v="2"/>
    <x v="1"/>
    <s v="CUST-910"/>
    <s v="Ergonomic Office Chair"/>
    <x v="1"/>
    <n v="1"/>
    <n v="12000"/>
    <x v="0"/>
    <x v="2"/>
    <n v="12000"/>
    <s v="Not Counted"/>
  </r>
  <r>
    <s v="FLP1024"/>
    <d v="2026-12-21T00:00:00"/>
    <x v="2"/>
    <x v="1"/>
    <s v="CUST-969"/>
    <s v="Prestige Mixer Grinder"/>
    <x v="4"/>
    <n v="1"/>
    <n v="3800"/>
    <x v="3"/>
    <x v="0"/>
    <n v="3800"/>
    <s v="Counted"/>
  </r>
  <r>
    <s v="FLP1025"/>
    <d v="2026-12-21T00:00:00"/>
    <x v="2"/>
    <x v="1"/>
    <s v="CUST-1079"/>
    <s v="Wooden Study Table"/>
    <x v="1"/>
    <n v="1"/>
    <n v="9500"/>
    <x v="4"/>
    <x v="3"/>
    <n v="9500"/>
    <s v="Not Counted"/>
  </r>
  <r>
    <s v="FLP1026"/>
    <d v="2026-12-21T00:00:00"/>
    <x v="2"/>
    <x v="1"/>
    <s v="CUST-1099"/>
    <s v="Lenovo Tablet"/>
    <x v="0"/>
    <n v="1"/>
    <n v="18000"/>
    <x v="3"/>
    <x v="0"/>
    <n v="18000"/>
    <s v="Counted"/>
  </r>
  <r>
    <s v="FLP1027"/>
    <d v="2026-12-21T00:00:00"/>
    <x v="2"/>
    <x v="0"/>
    <s v="CUST-949"/>
    <s v="Wall Clock"/>
    <x v="2"/>
    <n v="1"/>
    <n v="1500"/>
    <x v="0"/>
    <x v="2"/>
    <n v="1500"/>
    <s v="Not Counted"/>
  </r>
  <r>
    <s v="FLP1028"/>
    <d v="2026-12-22T00:00:00"/>
    <x v="2"/>
    <x v="2"/>
    <s v="CUST-915"/>
    <s v="Wall Clock"/>
    <x v="2"/>
    <n v="2"/>
    <n v="1500"/>
    <x v="0"/>
    <x v="0"/>
    <n v="3000"/>
    <s v="Counted"/>
  </r>
  <r>
    <s v="FLP1029"/>
    <d v="2026-12-22T00:00:00"/>
    <x v="2"/>
    <x v="1"/>
    <s v="CUST-935"/>
    <s v="Wooden Study Table"/>
    <x v="1"/>
    <n v="2"/>
    <n v="9500"/>
    <x v="2"/>
    <x v="0"/>
    <n v="19000"/>
    <s v="Counted"/>
  </r>
  <r>
    <s v="FLP1030"/>
    <d v="2026-12-22T00:00:00"/>
    <x v="2"/>
    <x v="3"/>
    <s v="CUST-952"/>
    <s v="Levis Jeans"/>
    <x v="3"/>
    <n v="1"/>
    <n v="2800"/>
    <x v="3"/>
    <x v="0"/>
    <n v="2800"/>
    <s v="Counted"/>
  </r>
  <r>
    <s v="FLP1031"/>
    <d v="2026-12-23T00:00:00"/>
    <x v="2"/>
    <x v="2"/>
    <s v="CUST-1081"/>
    <s v="Curtain Set"/>
    <x v="2"/>
    <n v="1"/>
    <n v="2200"/>
    <x v="1"/>
    <x v="0"/>
    <n v="2200"/>
    <s v="Counted"/>
  </r>
  <r>
    <s v="FLP1032"/>
    <d v="2026-12-23T00:00:00"/>
    <x v="2"/>
    <x v="0"/>
    <s v="CUST-1075"/>
    <s v="Curtain Set"/>
    <x v="2"/>
    <n v="1"/>
    <n v="2200"/>
    <x v="1"/>
    <x v="0"/>
    <n v="2200"/>
    <s v="Counted"/>
  </r>
  <r>
    <s v="FLP1033"/>
    <d v="2026-12-23T00:00:00"/>
    <x v="2"/>
    <x v="1"/>
    <s v="CUST-1051"/>
    <s v="Nike T-Shirt"/>
    <x v="3"/>
    <n v="1"/>
    <n v="1600"/>
    <x v="0"/>
    <x v="0"/>
    <n v="1600"/>
    <s v="Counted"/>
  </r>
  <r>
    <s v="FLP1034"/>
    <d v="2026-12-23T00:00:00"/>
    <x v="2"/>
    <x v="0"/>
    <s v="CUST-973"/>
    <s v="Ergonomic Office Chair"/>
    <x v="1"/>
    <n v="1"/>
    <n v="12000"/>
    <x v="1"/>
    <x v="0"/>
    <n v="12000"/>
    <s v="Counted"/>
  </r>
  <r>
    <s v="FLP1035"/>
    <d v="2026-12-23T00:00:00"/>
    <x v="2"/>
    <x v="3"/>
    <s v="CUST-957"/>
    <s v="Levis Jeans"/>
    <x v="3"/>
    <n v="2"/>
    <n v="2800"/>
    <x v="4"/>
    <x v="0"/>
    <n v="5600"/>
    <s v="Counted"/>
  </r>
  <r>
    <s v="FLP1036"/>
    <d v="2026-12-23T00:00:00"/>
    <x v="2"/>
    <x v="0"/>
    <s v="CUST-1100"/>
    <s v="Ergonomic Office Chair"/>
    <x v="1"/>
    <n v="1"/>
    <n v="12000"/>
    <x v="3"/>
    <x v="1"/>
    <n v="12000"/>
    <s v="Counted"/>
  </r>
  <r>
    <s v="FLP1037"/>
    <d v="2026-12-24T00:00:00"/>
    <x v="2"/>
    <x v="3"/>
    <s v="CUST-1054"/>
    <s v="Table Lamp"/>
    <x v="2"/>
    <n v="2"/>
    <n v="1800"/>
    <x v="2"/>
    <x v="0"/>
    <n v="3600"/>
    <s v="Counted"/>
  </r>
  <r>
    <s v="FLP1038"/>
    <d v="2026-12-24T00:00:00"/>
    <x v="2"/>
    <x v="2"/>
    <s v="CUST-1083"/>
    <s v="Nike T-Shirt"/>
    <x v="3"/>
    <n v="2"/>
    <n v="1600"/>
    <x v="3"/>
    <x v="0"/>
    <n v="3200"/>
    <s v="Counted"/>
  </r>
  <r>
    <s v="FLP1039"/>
    <d v="2026-12-24T00:00:00"/>
    <x v="2"/>
    <x v="2"/>
    <s v="CUST-1018"/>
    <s v="Wall Clock"/>
    <x v="2"/>
    <n v="2"/>
    <n v="1500"/>
    <x v="1"/>
    <x v="0"/>
    <n v="3000"/>
    <s v="Counted"/>
  </r>
  <r>
    <s v="FLP1040"/>
    <d v="2026-12-24T00:00:00"/>
    <x v="2"/>
    <x v="1"/>
    <s v="CUST-1050"/>
    <s v="Philips Air Fryer"/>
    <x v="4"/>
    <n v="1"/>
    <n v="8500"/>
    <x v="1"/>
    <x v="0"/>
    <n v="8500"/>
    <s v="Counted"/>
  </r>
  <r>
    <s v="FLP1041"/>
    <d v="2026-12-24T00:00:00"/>
    <x v="2"/>
    <x v="2"/>
    <s v="CUST-1044"/>
    <s v="Philips Air Fryer"/>
    <x v="4"/>
    <n v="3"/>
    <n v="8500"/>
    <x v="4"/>
    <x v="0"/>
    <n v="25500"/>
    <s v="Counted"/>
  </r>
  <r>
    <s v="FLP1042"/>
    <d v="2026-12-25T00:00:00"/>
    <x v="2"/>
    <x v="1"/>
    <s v="CUST-917"/>
    <s v="Wooden Study Table"/>
    <x v="1"/>
    <n v="1"/>
    <n v="9500"/>
    <x v="1"/>
    <x v="0"/>
    <n v="9500"/>
    <s v="Counted"/>
  </r>
  <r>
    <s v="FLP1043"/>
    <d v="2026-12-25T00:00:00"/>
    <x v="2"/>
    <x v="2"/>
    <s v="CUST-1068"/>
    <s v="3-Seater Sofa"/>
    <x v="1"/>
    <n v="1"/>
    <n v="28000"/>
    <x v="4"/>
    <x v="2"/>
    <n v="28000"/>
    <s v="Not Counted"/>
  </r>
  <r>
    <s v="FLP1044"/>
    <d v="2026-12-25T00:00:00"/>
    <x v="2"/>
    <x v="3"/>
    <s v="CUST-915"/>
    <s v="Wooden Study Table"/>
    <x v="1"/>
    <n v="1"/>
    <n v="9500"/>
    <x v="2"/>
    <x v="1"/>
    <n v="9500"/>
    <s v="Counted"/>
  </r>
  <r>
    <s v="FLP1045"/>
    <d v="2026-12-25T00:00:00"/>
    <x v="2"/>
    <x v="2"/>
    <s v="CUST-1075"/>
    <s v="Nike T-Shirt"/>
    <x v="3"/>
    <n v="1"/>
    <n v="1600"/>
    <x v="1"/>
    <x v="0"/>
    <n v="1600"/>
    <s v="Counted"/>
  </r>
  <r>
    <s v="FLP1046"/>
    <d v="2026-12-25T00:00:00"/>
    <x v="2"/>
    <x v="2"/>
    <s v="CUST-1008"/>
    <s v="Table Lamp"/>
    <x v="2"/>
    <n v="3"/>
    <n v="1800"/>
    <x v="0"/>
    <x v="1"/>
    <n v="5400"/>
    <s v="Counted"/>
  </r>
  <r>
    <s v="FLP1047"/>
    <d v="2026-12-25T00:00:00"/>
    <x v="2"/>
    <x v="3"/>
    <s v="CUST-988"/>
    <s v="Levis Jeans"/>
    <x v="3"/>
    <n v="2"/>
    <n v="2800"/>
    <x v="2"/>
    <x v="0"/>
    <n v="5600"/>
    <s v="Counted"/>
  </r>
  <r>
    <s v="FLP1048"/>
    <d v="2026-12-25T00:00:00"/>
    <x v="2"/>
    <x v="1"/>
    <s v="CUST-1072"/>
    <s v="Adidas Sports Jacket"/>
    <x v="3"/>
    <n v="1"/>
    <n v="5000"/>
    <x v="0"/>
    <x v="0"/>
    <n v="5000"/>
    <s v="Counted"/>
  </r>
  <r>
    <s v="FLP1049"/>
    <d v="2026-12-25T00:00:00"/>
    <x v="2"/>
    <x v="3"/>
    <s v="CUST-976"/>
    <s v="Boat Airdopes"/>
    <x v="0"/>
    <n v="2"/>
    <n v="1800"/>
    <x v="1"/>
    <x v="0"/>
    <n v="3600"/>
    <s v="Counted"/>
  </r>
  <r>
    <s v="FLP1050"/>
    <d v="2026-12-25T00:00:00"/>
    <x v="2"/>
    <x v="3"/>
    <s v="CUST-1075"/>
    <s v="Ergonomic Office Chair"/>
    <x v="1"/>
    <n v="1"/>
    <n v="12000"/>
    <x v="3"/>
    <x v="0"/>
    <n v="12000"/>
    <s v="Counted"/>
  </r>
  <r>
    <s v="FLP1051"/>
    <d v="2026-12-26T00:00:00"/>
    <x v="2"/>
    <x v="2"/>
    <s v="CUST-1008"/>
    <s v="Lenovo Tablet"/>
    <x v="0"/>
    <n v="1"/>
    <n v="18000"/>
    <x v="2"/>
    <x v="0"/>
    <n v="18000"/>
    <s v="Counted"/>
  </r>
  <r>
    <s v="FLP1052"/>
    <d v="2026-12-26T00:00:00"/>
    <x v="2"/>
    <x v="1"/>
    <s v="CUST-931"/>
    <s v="Ergonomic Office Chair"/>
    <x v="1"/>
    <n v="1"/>
    <n v="12000"/>
    <x v="0"/>
    <x v="2"/>
    <n v="12000"/>
    <s v="Not Counted"/>
  </r>
  <r>
    <s v="FLP1053"/>
    <d v="2026-12-26T00:00:00"/>
    <x v="2"/>
    <x v="0"/>
    <s v="CUST-1021"/>
    <s v="Levis Jeans"/>
    <x v="3"/>
    <n v="1"/>
    <n v="2800"/>
    <x v="3"/>
    <x v="0"/>
    <n v="2800"/>
    <s v="Counted"/>
  </r>
  <r>
    <s v="FLP1054"/>
    <d v="2026-12-26T00:00:00"/>
    <x v="2"/>
    <x v="2"/>
    <s v="CUST-1006"/>
    <s v="Philips Air Fryer"/>
    <x v="4"/>
    <n v="1"/>
    <n v="8500"/>
    <x v="1"/>
    <x v="2"/>
    <n v="8500"/>
    <s v="Not Counted"/>
  </r>
  <r>
    <s v="FLP1055"/>
    <d v="2026-12-26T00:00:00"/>
    <x v="2"/>
    <x v="2"/>
    <s v="CUST-1005"/>
    <s v="HP Pavilion Laptop"/>
    <x v="0"/>
    <n v="2"/>
    <n v="52000"/>
    <x v="3"/>
    <x v="2"/>
    <n v="104000"/>
    <s v="Not Counted"/>
  </r>
  <r>
    <s v="FLP1056"/>
    <d v="2026-12-26T00:00:00"/>
    <x v="2"/>
    <x v="3"/>
    <s v="CUST-1100"/>
    <s v="Curtain Set"/>
    <x v="2"/>
    <n v="1"/>
    <n v="2200"/>
    <x v="1"/>
    <x v="0"/>
    <n v="2200"/>
    <s v="Counted"/>
  </r>
  <r>
    <s v="FLP1057"/>
    <d v="2026-12-27T00:00:00"/>
    <x v="2"/>
    <x v="0"/>
    <s v="CUST-902"/>
    <s v="Boat Airdopes"/>
    <x v="0"/>
    <n v="1"/>
    <n v="1800"/>
    <x v="0"/>
    <x v="0"/>
    <n v="1800"/>
    <s v="Counted"/>
  </r>
  <r>
    <s v="FLP1058"/>
    <d v="2026-12-27T00:00:00"/>
    <x v="2"/>
    <x v="3"/>
    <s v="CUST-1026"/>
    <s v="Dyson Vacuum Cleaner"/>
    <x v="4"/>
    <n v="1"/>
    <n v="22000"/>
    <x v="2"/>
    <x v="1"/>
    <n v="22000"/>
    <s v="Counted"/>
  </r>
  <r>
    <s v="FLP1059"/>
    <d v="2026-12-27T00:00:00"/>
    <x v="2"/>
    <x v="1"/>
    <s v="CUST-1004"/>
    <s v="HP Pavilion Laptop"/>
    <x v="0"/>
    <n v="1"/>
    <n v="52000"/>
    <x v="0"/>
    <x v="0"/>
    <n v="52000"/>
    <s v="Counted"/>
  </r>
  <r>
    <s v="FLP1060"/>
    <d v="2026-12-27T00:00:00"/>
    <x v="2"/>
    <x v="3"/>
    <s v="CUST-1088"/>
    <s v="Apple iPhone 15"/>
    <x v="0"/>
    <n v="1"/>
    <n v="65000"/>
    <x v="0"/>
    <x v="0"/>
    <n v="65000"/>
    <s v="Counted"/>
  </r>
  <r>
    <s v="FLP1061"/>
    <d v="2026-12-27T00:00:00"/>
    <x v="2"/>
    <x v="3"/>
    <s v="CUST-905"/>
    <s v="3-Seater Sofa"/>
    <x v="1"/>
    <n v="1"/>
    <n v="28000"/>
    <x v="4"/>
    <x v="0"/>
    <n v="28000"/>
    <s v="Counted"/>
  </r>
  <r>
    <s v="FLP1062"/>
    <d v="2026-12-27T00:00:00"/>
    <x v="2"/>
    <x v="2"/>
    <s v="CUST-980"/>
    <s v="Lenovo Tablet"/>
    <x v="0"/>
    <n v="1"/>
    <n v="18000"/>
    <x v="1"/>
    <x v="0"/>
    <n v="18000"/>
    <s v="Counted"/>
  </r>
  <r>
    <s v="FLP1063"/>
    <d v="2026-12-27T00:00:00"/>
    <x v="2"/>
    <x v="0"/>
    <s v="CUST-912"/>
    <s v="Levis Jeans"/>
    <x v="3"/>
    <n v="1"/>
    <n v="2800"/>
    <x v="1"/>
    <x v="0"/>
    <n v="2800"/>
    <s v="Counted"/>
  </r>
  <r>
    <s v="FLP1064"/>
    <d v="2026-12-28T00:00:00"/>
    <x v="2"/>
    <x v="2"/>
    <s v="CUST-1012"/>
    <s v="LG Microwave Oven"/>
    <x v="4"/>
    <n v="1"/>
    <n v="12500"/>
    <x v="3"/>
    <x v="3"/>
    <n v="12500"/>
    <s v="Not Counted"/>
  </r>
  <r>
    <s v="FLP1065"/>
    <d v="2026-12-28T00:00:00"/>
    <x v="2"/>
    <x v="1"/>
    <s v="CUST-992"/>
    <s v="3-Seater Sofa"/>
    <x v="1"/>
    <n v="2"/>
    <n v="28000"/>
    <x v="2"/>
    <x v="0"/>
    <n v="56000"/>
    <s v="Counted"/>
  </r>
  <r>
    <s v="FLP1066"/>
    <d v="2026-12-28T00:00:00"/>
    <x v="2"/>
    <x v="3"/>
    <s v="CUST-1087"/>
    <s v="King Size Bed Sheet"/>
    <x v="2"/>
    <n v="1"/>
    <n v="2400"/>
    <x v="3"/>
    <x v="0"/>
    <n v="2400"/>
    <s v="Counted"/>
  </r>
  <r>
    <s v="FLP1067"/>
    <d v="2026-12-28T00:00:00"/>
    <x v="2"/>
    <x v="3"/>
    <s v="CUST-932"/>
    <s v="Apple iPhone 15"/>
    <x v="0"/>
    <n v="1"/>
    <n v="65000"/>
    <x v="0"/>
    <x v="0"/>
    <n v="65000"/>
    <s v="Counted"/>
  </r>
  <r>
    <s v="FLP1068"/>
    <d v="2026-12-28T00:00:00"/>
    <x v="2"/>
    <x v="2"/>
    <s v="CUST-1098"/>
    <s v="Samsung Galaxy S24"/>
    <x v="0"/>
    <n v="1"/>
    <n v="62000"/>
    <x v="0"/>
    <x v="0"/>
    <n v="62000"/>
    <s v="Counted"/>
  </r>
  <r>
    <s v="FLP1069"/>
    <d v="2026-12-28T00:00:00"/>
    <x v="2"/>
    <x v="0"/>
    <s v="CUST-913"/>
    <s v="Samsung Galaxy S24"/>
    <x v="0"/>
    <n v="1"/>
    <n v="62000"/>
    <x v="4"/>
    <x v="0"/>
    <n v="62000"/>
    <s v="Counted"/>
  </r>
  <r>
    <s v="FLP1070"/>
    <d v="2026-12-28T00:00:00"/>
    <x v="2"/>
    <x v="2"/>
    <s v="CUST-1022"/>
    <s v="King Size Bed Sheet"/>
    <x v="2"/>
    <n v="1"/>
    <n v="2400"/>
    <x v="4"/>
    <x v="0"/>
    <n v="2400"/>
    <s v="Counted"/>
  </r>
  <r>
    <s v="FLP1071"/>
    <d v="2026-12-28T00:00:00"/>
    <x v="2"/>
    <x v="2"/>
    <s v="CUST-1008"/>
    <s v="Philips Air Fryer"/>
    <x v="4"/>
    <n v="1"/>
    <n v="8500"/>
    <x v="4"/>
    <x v="0"/>
    <n v="8500"/>
    <s v="Counted"/>
  </r>
  <r>
    <s v="FLP1072"/>
    <d v="2026-12-28T00:00:00"/>
    <x v="2"/>
    <x v="3"/>
    <s v="CUST-1008"/>
    <s v="Ergonomic Office Chair"/>
    <x v="1"/>
    <n v="1"/>
    <n v="12000"/>
    <x v="3"/>
    <x v="0"/>
    <n v="12000"/>
    <s v="Counted"/>
  </r>
  <r>
    <s v="FLP1073"/>
    <d v="2026-12-28T00:00:00"/>
    <x v="2"/>
    <x v="2"/>
    <s v="CUST-930"/>
    <s v="LG Microwave Oven"/>
    <x v="4"/>
    <n v="1"/>
    <n v="12500"/>
    <x v="2"/>
    <x v="0"/>
    <n v="12500"/>
    <s v="Counted"/>
  </r>
  <r>
    <s v="FLP1074"/>
    <d v="2026-12-29T00:00:00"/>
    <x v="2"/>
    <x v="2"/>
    <s v="CUST-1034"/>
    <s v="Nike T-Shirt"/>
    <x v="3"/>
    <n v="1"/>
    <n v="1600"/>
    <x v="3"/>
    <x v="0"/>
    <n v="1600"/>
    <s v="Counted"/>
  </r>
  <r>
    <s v="FLP1075"/>
    <d v="2026-12-29T00:00:00"/>
    <x v="2"/>
    <x v="0"/>
    <s v="CUST-1041"/>
    <s v="Wall Clock"/>
    <x v="2"/>
    <n v="1"/>
    <n v="1500"/>
    <x v="0"/>
    <x v="0"/>
    <n v="1500"/>
    <s v="Counted"/>
  </r>
  <r>
    <s v="FLP1076"/>
    <d v="2026-12-29T00:00:00"/>
    <x v="2"/>
    <x v="0"/>
    <s v="CUST-904"/>
    <s v="Table Lamp"/>
    <x v="2"/>
    <n v="1"/>
    <n v="1800"/>
    <x v="4"/>
    <x v="2"/>
    <n v="1800"/>
    <s v="Not Counted"/>
  </r>
  <r>
    <s v="FLP1077"/>
    <d v="2026-12-29T00:00:00"/>
    <x v="2"/>
    <x v="3"/>
    <s v="CUST-924"/>
    <s v="Levis Jeans"/>
    <x v="3"/>
    <n v="1"/>
    <n v="2800"/>
    <x v="2"/>
    <x v="0"/>
    <n v="2800"/>
    <s v="Counted"/>
  </r>
  <r>
    <s v="FLP1078"/>
    <d v="2026-12-29T00:00:00"/>
    <x v="2"/>
    <x v="2"/>
    <s v="CUST-1065"/>
    <s v="LG Microwave Oven"/>
    <x v="4"/>
    <n v="1"/>
    <n v="12500"/>
    <x v="1"/>
    <x v="3"/>
    <n v="12500"/>
    <s v="Not Counted"/>
  </r>
  <r>
    <s v="FLP1079"/>
    <d v="2026-12-29T00:00:00"/>
    <x v="2"/>
    <x v="0"/>
    <s v="CUST-926"/>
    <s v="Wooden Study Table"/>
    <x v="1"/>
    <n v="1"/>
    <n v="9500"/>
    <x v="2"/>
    <x v="2"/>
    <n v="9500"/>
    <s v="Not Counted"/>
  </r>
  <r>
    <s v="FLP1080"/>
    <d v="2026-12-29T00:00:00"/>
    <x v="2"/>
    <x v="2"/>
    <s v="CUST-1010"/>
    <s v="Wooden Study Table"/>
    <x v="1"/>
    <n v="1"/>
    <n v="9500"/>
    <x v="2"/>
    <x v="0"/>
    <n v="9500"/>
    <s v="Counted"/>
  </r>
  <r>
    <s v="FLP1081"/>
    <d v="2026-12-29T00:00:00"/>
    <x v="2"/>
    <x v="0"/>
    <s v="CUST-936"/>
    <s v="Dyson Vacuum Cleaner"/>
    <x v="4"/>
    <n v="2"/>
    <n v="22000"/>
    <x v="4"/>
    <x v="0"/>
    <n v="44000"/>
    <s v="Counted"/>
  </r>
  <r>
    <s v="FLP1082"/>
    <d v="2026-12-29T00:00:00"/>
    <x v="2"/>
    <x v="2"/>
    <s v="CUST-1088"/>
    <s v="Bookshelf Rack"/>
    <x v="1"/>
    <n v="2"/>
    <n v="6500"/>
    <x v="1"/>
    <x v="1"/>
    <n v="13000"/>
    <s v="Counted"/>
  </r>
  <r>
    <s v="FLP1083"/>
    <d v="2026-12-29T00:00:00"/>
    <x v="2"/>
    <x v="1"/>
    <s v="CUST-1017"/>
    <s v="Boat Airdopes"/>
    <x v="0"/>
    <n v="1"/>
    <n v="1800"/>
    <x v="1"/>
    <x v="0"/>
    <n v="1800"/>
    <s v="Counted"/>
  </r>
  <r>
    <s v="FLP1084"/>
    <d v="2026-12-29T00:00:00"/>
    <x v="2"/>
    <x v="3"/>
    <s v="CUST-929"/>
    <s v="Table Lamp"/>
    <x v="2"/>
    <n v="2"/>
    <n v="1800"/>
    <x v="1"/>
    <x v="1"/>
    <n v="3600"/>
    <s v="Counted"/>
  </r>
  <r>
    <s v="FLP1085"/>
    <d v="2026-12-29T00:00:00"/>
    <x v="2"/>
    <x v="1"/>
    <s v="CUST-1046"/>
    <s v="Boat Airdopes"/>
    <x v="0"/>
    <n v="1"/>
    <n v="1800"/>
    <x v="4"/>
    <x v="0"/>
    <n v="1800"/>
    <s v="Counted"/>
  </r>
  <r>
    <s v="FLP1086"/>
    <d v="2026-12-30T00:00:00"/>
    <x v="2"/>
    <x v="0"/>
    <s v="CUST-1076"/>
    <s v="King Size Bed Sheet"/>
    <x v="2"/>
    <n v="2"/>
    <n v="2400"/>
    <x v="3"/>
    <x v="1"/>
    <n v="4800"/>
    <s v="Counted"/>
  </r>
  <r>
    <s v="FLP1087"/>
    <d v="2026-12-30T00:00:00"/>
    <x v="2"/>
    <x v="1"/>
    <s v="CUST-929"/>
    <s v="HP Pavilion Laptop"/>
    <x v="0"/>
    <n v="1"/>
    <n v="52000"/>
    <x v="3"/>
    <x v="0"/>
    <n v="52000"/>
    <s v="Counted"/>
  </r>
  <r>
    <s v="FLP1088"/>
    <d v="2026-12-30T00:00:00"/>
    <x v="2"/>
    <x v="2"/>
    <s v="CUST-904"/>
    <s v="OnePlus 12"/>
    <x v="0"/>
    <n v="1"/>
    <n v="58000"/>
    <x v="4"/>
    <x v="0"/>
    <n v="58000"/>
    <s v="Counted"/>
  </r>
  <r>
    <s v="FLP1089"/>
    <d v="2026-12-30T00:00:00"/>
    <x v="2"/>
    <x v="3"/>
    <s v="CUST-1072"/>
    <s v="Dyson Vacuum Cleaner"/>
    <x v="4"/>
    <n v="1"/>
    <n v="22000"/>
    <x v="3"/>
    <x v="0"/>
    <n v="22000"/>
    <s v="Counted"/>
  </r>
  <r>
    <s v="FLP1090"/>
    <d v="2026-12-30T00:00:00"/>
    <x v="2"/>
    <x v="0"/>
    <s v="CUST-1011"/>
    <s v="Prestige Mixer Grinder"/>
    <x v="4"/>
    <n v="2"/>
    <n v="3800"/>
    <x v="4"/>
    <x v="0"/>
    <n v="7600"/>
    <s v="Counted"/>
  </r>
  <r>
    <s v="FLP1091"/>
    <d v="2026-12-30T00:00:00"/>
    <x v="2"/>
    <x v="1"/>
    <s v="CUST-939"/>
    <s v="Bookshelf Rack"/>
    <x v="1"/>
    <n v="1"/>
    <n v="6500"/>
    <x v="3"/>
    <x v="0"/>
    <n v="6500"/>
    <s v="Counted"/>
  </r>
  <r>
    <s v="FLP1092"/>
    <d v="2026-12-30T00:00:00"/>
    <x v="2"/>
    <x v="3"/>
    <s v="CUST-1030"/>
    <s v="Nike T-Shirt"/>
    <x v="3"/>
    <n v="1"/>
    <n v="1600"/>
    <x v="3"/>
    <x v="2"/>
    <n v="1600"/>
    <s v="Not Counted"/>
  </r>
  <r>
    <s v="FLP1093"/>
    <d v="2026-12-31T00:00:00"/>
    <x v="2"/>
    <x v="1"/>
    <s v="CUST-983"/>
    <s v="Boat Airdopes"/>
    <x v="0"/>
    <n v="1"/>
    <n v="1800"/>
    <x v="1"/>
    <x v="3"/>
    <n v="1800"/>
    <s v="Not Counted"/>
  </r>
  <r>
    <s v="FLP1094"/>
    <d v="2026-12-31T00:00:00"/>
    <x v="2"/>
    <x v="1"/>
    <s v="CUST-1004"/>
    <s v="Samsung Galaxy S24"/>
    <x v="0"/>
    <n v="1"/>
    <n v="62000"/>
    <x v="2"/>
    <x v="0"/>
    <n v="62000"/>
    <s v="Counted"/>
  </r>
  <r>
    <s v="FLP1095"/>
    <d v="2026-12-31T00:00:00"/>
    <x v="2"/>
    <x v="1"/>
    <s v="CUST-923"/>
    <s v="Curtain Set"/>
    <x v="2"/>
    <n v="2"/>
    <n v="2200"/>
    <x v="3"/>
    <x v="0"/>
    <n v="4400"/>
    <s v="Counted"/>
  </r>
  <r>
    <s v="FLP1096"/>
    <d v="2026-12-31T00:00:00"/>
    <x v="2"/>
    <x v="0"/>
    <s v="CUST-927"/>
    <s v="Mi Smart TV 43"/>
    <x v="0"/>
    <n v="2"/>
    <n v="24000"/>
    <x v="0"/>
    <x v="0"/>
    <n v="48000"/>
    <s v="Counted"/>
  </r>
  <r>
    <s v="FLP1097"/>
    <d v="2026-12-31T00:00:00"/>
    <x v="2"/>
    <x v="0"/>
    <s v="CUST-1055"/>
    <s v="Adidas Sports Jacket"/>
    <x v="3"/>
    <n v="1"/>
    <n v="5000"/>
    <x v="3"/>
    <x v="0"/>
    <n v="5000"/>
    <s v="Counted"/>
  </r>
  <r>
    <s v="FLP1098"/>
    <d v="2026-12-31T00:00:00"/>
    <x v="2"/>
    <x v="1"/>
    <s v="CUST-988"/>
    <s v="Puma Running Shoes"/>
    <x v="3"/>
    <n v="1"/>
    <n v="3500"/>
    <x v="0"/>
    <x v="0"/>
    <n v="3500"/>
    <s v="Counted"/>
  </r>
  <r>
    <s v="FLP1099"/>
    <d v="2026-12-31T00:00:00"/>
    <x v="2"/>
    <x v="2"/>
    <s v="CUST-1044"/>
    <s v="Lenovo Tablet"/>
    <x v="0"/>
    <n v="1"/>
    <n v="18000"/>
    <x v="2"/>
    <x v="0"/>
    <n v="18000"/>
    <s v="Counted"/>
  </r>
  <r>
    <s v="FLP1100"/>
    <d v="2026-12-31T00:00:00"/>
    <x v="2"/>
    <x v="1"/>
    <s v="CUST-930"/>
    <s v="Prestige Mixer Grinder"/>
    <x v="4"/>
    <n v="1"/>
    <n v="3800"/>
    <x v="1"/>
    <x v="0"/>
    <n v="3800"/>
    <s v="Count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11">
  <location ref="F65:G70" firstHeaderRow="1" firstDataRow="1" firstDataCol="1" rowPageCount="1" colPageCount="1"/>
  <pivotFields count="13">
    <pivotField showAll="0"/>
    <pivotField numFmtId="164" showAll="0"/>
    <pivotField showAll="0" defaultSubtotal="0">
      <items count="3">
        <item x="0"/>
        <item x="1"/>
        <item x="2"/>
      </items>
    </pivotField>
    <pivotField showAll="0">
      <items count="5">
        <item x="2"/>
        <item x="0"/>
        <item x="3"/>
        <item x="1"/>
        <item t="default"/>
      </items>
    </pivotField>
    <pivotField showAll="0"/>
    <pivotField showAll="0"/>
    <pivotField axis="axisRow" showAll="0">
      <items count="6">
        <item x="4"/>
        <item x="0"/>
        <item x="3"/>
        <item x="1"/>
        <item x="2"/>
        <item t="default"/>
      </items>
    </pivotField>
    <pivotField showAll="0"/>
    <pivotField numFmtId="3" showAll="0"/>
    <pivotField showAll="0"/>
    <pivotField axis="axisPage" multipleItemSelectionAllowed="1" showAll="0">
      <items count="5">
        <item h="1" x="2"/>
        <item x="0"/>
        <item h="1" x="3"/>
        <item x="1"/>
        <item t="default"/>
      </items>
    </pivotField>
    <pivotField dataField="1" numFmtId="3" showAll="0"/>
    <pivotField showAll="0"/>
  </pivotFields>
  <rowFields count="1">
    <field x="6"/>
  </rowFields>
  <rowItems count="5">
    <i>
      <x/>
    </i>
    <i>
      <x v="1"/>
    </i>
    <i>
      <x v="2"/>
    </i>
    <i>
      <x v="3"/>
    </i>
    <i>
      <x v="4"/>
    </i>
  </rowItems>
  <colItems count="1">
    <i/>
  </colItems>
  <pageFields count="1">
    <pageField fld="10" hier="-1"/>
  </pageFields>
  <dataFields count="1">
    <dataField name="Sum of Total Amount" fld="11" baseField="0" baseItem="0"/>
  </dataFields>
  <chartFormats count="6">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location ref="A59:B63" firstHeaderRow="1" firstDataRow="1" firstDataCol="1" rowPageCount="1" colPageCount="1"/>
  <pivotFields count="13">
    <pivotField showAll="0"/>
    <pivotField numFmtId="164" showAll="0"/>
    <pivotField showAll="0" defaultSubtotal="0">
      <items count="3">
        <item x="0"/>
        <item x="1"/>
        <item x="2"/>
      </items>
    </pivotField>
    <pivotField axis="axisRow" showAll="0">
      <items count="5">
        <item x="2"/>
        <item x="0"/>
        <item x="3"/>
        <item x="1"/>
        <item t="default"/>
      </items>
    </pivotField>
    <pivotField showAll="0"/>
    <pivotField showAll="0"/>
    <pivotField showAll="0">
      <items count="6">
        <item x="4"/>
        <item x="0"/>
        <item x="3"/>
        <item x="1"/>
        <item x="2"/>
        <item t="default"/>
      </items>
    </pivotField>
    <pivotField showAll="0"/>
    <pivotField numFmtId="3" showAll="0"/>
    <pivotField showAll="0"/>
    <pivotField axis="axisPage" multipleItemSelectionAllowed="1" showAll="0">
      <items count="5">
        <item x="2"/>
        <item h="1" x="0"/>
        <item x="3"/>
        <item h="1" x="1"/>
        <item t="default"/>
      </items>
    </pivotField>
    <pivotField dataField="1" numFmtId="3" showAll="0"/>
    <pivotField showAll="0"/>
  </pivotFields>
  <rowFields count="1">
    <field x="3"/>
  </rowFields>
  <rowItems count="4">
    <i>
      <x/>
    </i>
    <i>
      <x v="1"/>
    </i>
    <i>
      <x v="2"/>
    </i>
    <i>
      <x v="3"/>
    </i>
  </rowItems>
  <colItems count="1">
    <i/>
  </colItems>
  <pageFields count="1">
    <pageField fld="10" hier="-1"/>
  </pageFields>
  <dataFields count="1">
    <dataField name="Sum of Total Amount" fld="11"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3">
  <location ref="A1:F6" firstHeaderRow="1" firstDataRow="2" firstDataCol="1"/>
  <pivotFields count="13">
    <pivotField showAll="0"/>
    <pivotField numFmtId="164" showAll="0"/>
    <pivotField showAll="0" defaultSubtotal="0">
      <items count="3">
        <item x="0"/>
        <item x="1"/>
        <item x="2"/>
      </items>
    </pivotField>
    <pivotField showAll="0">
      <items count="5">
        <item x="2"/>
        <item x="0"/>
        <item x="3"/>
        <item x="1"/>
        <item t="default"/>
      </items>
    </pivotField>
    <pivotField showAll="0"/>
    <pivotField showAll="0"/>
    <pivotField showAll="0">
      <items count="6">
        <item x="4"/>
        <item x="0"/>
        <item x="3"/>
        <item x="1"/>
        <item x="2"/>
        <item t="default"/>
      </items>
    </pivotField>
    <pivotField dataField="1" showAll="0"/>
    <pivotField numFmtId="3" showAll="0"/>
    <pivotField axis="axisCol" showAll="0">
      <items count="6">
        <item x="3"/>
        <item x="0"/>
        <item x="4"/>
        <item x="2"/>
        <item x="1"/>
        <item t="default"/>
      </items>
    </pivotField>
    <pivotField axis="axisRow" showAll="0">
      <items count="5">
        <item x="2"/>
        <item x="0"/>
        <item x="3"/>
        <item x="1"/>
        <item t="default"/>
      </items>
    </pivotField>
    <pivotField numFmtId="3" showAll="0"/>
    <pivotField showAll="0"/>
  </pivotFields>
  <rowFields count="1">
    <field x="10"/>
  </rowFields>
  <rowItems count="4">
    <i>
      <x/>
    </i>
    <i>
      <x v="1"/>
    </i>
    <i>
      <x v="2"/>
    </i>
    <i>
      <x v="3"/>
    </i>
  </rowItems>
  <colFields count="1">
    <field x="9"/>
  </colFields>
  <colItems count="5">
    <i>
      <x/>
    </i>
    <i>
      <x v="1"/>
    </i>
    <i>
      <x v="2"/>
    </i>
    <i>
      <x v="3"/>
    </i>
    <i>
      <x v="4"/>
    </i>
  </colItems>
  <dataFields count="1">
    <dataField name="Sum of Qty" fld="7" baseField="0" baseItem="0"/>
  </dataFields>
  <chartFormats count="18">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0" format="2" series="1">
      <pivotArea type="data" outline="0" fieldPosition="0">
        <references count="2">
          <reference field="4294967294" count="1" selected="0">
            <x v="0"/>
          </reference>
          <reference field="9" count="1" selected="0">
            <x v="2"/>
          </reference>
        </references>
      </pivotArea>
    </chartFormat>
    <chartFormat chart="0" format="3" series="1">
      <pivotArea type="data" outline="0" fieldPosition="0">
        <references count="2">
          <reference field="4294967294" count="1" selected="0">
            <x v="0"/>
          </reference>
          <reference field="9" count="1" selected="0">
            <x v="3"/>
          </reference>
        </references>
      </pivotArea>
    </chartFormat>
    <chartFormat chart="0" format="4" series="1">
      <pivotArea type="data" outline="0" fieldPosition="0">
        <references count="2">
          <reference field="4294967294" count="1" selected="0">
            <x v="0"/>
          </reference>
          <reference field="9" count="1" selected="0">
            <x v="4"/>
          </reference>
        </references>
      </pivotArea>
    </chartFormat>
    <chartFormat chart="0" format="5" series="1">
      <pivotArea type="data" outline="0" fieldPosition="0">
        <references count="2">
          <reference field="4294967294" count="1" selected="0">
            <x v="0"/>
          </reference>
          <reference field="10" count="1" selected="0">
            <x v="0"/>
          </reference>
        </references>
      </pivotArea>
    </chartFormat>
    <chartFormat chart="0" format="6" series="1">
      <pivotArea type="data" outline="0" fieldPosition="0">
        <references count="2">
          <reference field="4294967294" count="1" selected="0">
            <x v="0"/>
          </reference>
          <reference field="10" count="1" selected="0">
            <x v="1"/>
          </reference>
        </references>
      </pivotArea>
    </chartFormat>
    <chartFormat chart="0" format="7" series="1">
      <pivotArea type="data" outline="0" fieldPosition="0">
        <references count="2">
          <reference field="4294967294" count="1" selected="0">
            <x v="0"/>
          </reference>
          <reference field="10" count="1" selected="0">
            <x v="2"/>
          </reference>
        </references>
      </pivotArea>
    </chartFormat>
    <chartFormat chart="0" format="8" series="1">
      <pivotArea type="data" outline="0" fieldPosition="0">
        <references count="2">
          <reference field="4294967294" count="1" selected="0">
            <x v="0"/>
          </reference>
          <reference field="10" count="1" selected="0">
            <x v="3"/>
          </reference>
        </references>
      </pivotArea>
    </chartFormat>
    <chartFormat chart="2" format="14" series="1">
      <pivotArea type="data" outline="0" fieldPosition="0">
        <references count="2">
          <reference field="4294967294" count="1" selected="0">
            <x v="0"/>
          </reference>
          <reference field="9" count="1" selected="0">
            <x v="0"/>
          </reference>
        </references>
      </pivotArea>
    </chartFormat>
    <chartFormat chart="2" format="15" series="1">
      <pivotArea type="data" outline="0" fieldPosition="0">
        <references count="2">
          <reference field="4294967294" count="1" selected="0">
            <x v="0"/>
          </reference>
          <reference field="9" count="1" selected="0">
            <x v="1"/>
          </reference>
        </references>
      </pivotArea>
    </chartFormat>
    <chartFormat chart="2" format="16" series="1">
      <pivotArea type="data" outline="0" fieldPosition="0">
        <references count="2">
          <reference field="4294967294" count="1" selected="0">
            <x v="0"/>
          </reference>
          <reference field="9" count="1" selected="0">
            <x v="2"/>
          </reference>
        </references>
      </pivotArea>
    </chartFormat>
    <chartFormat chart="2" format="17" series="1">
      <pivotArea type="data" outline="0" fieldPosition="0">
        <references count="2">
          <reference field="4294967294" count="1" selected="0">
            <x v="0"/>
          </reference>
          <reference field="9" count="1" selected="0">
            <x v="3"/>
          </reference>
        </references>
      </pivotArea>
    </chartFormat>
    <chartFormat chart="2" format="18" series="1">
      <pivotArea type="data" outline="0" fieldPosition="0">
        <references count="2">
          <reference field="4294967294" count="1" selected="0">
            <x v="0"/>
          </reference>
          <reference field="9" count="1" selected="0">
            <x v="4"/>
          </reference>
        </references>
      </pivotArea>
    </chartFormat>
    <chartFormat chart="2" format="19" series="1">
      <pivotArea type="data" outline="0" fieldPosition="0">
        <references count="2">
          <reference field="4294967294" count="1" selected="0">
            <x v="0"/>
          </reference>
          <reference field="10" count="1" selected="0">
            <x v="0"/>
          </reference>
        </references>
      </pivotArea>
    </chartFormat>
    <chartFormat chart="2" format="20" series="1">
      <pivotArea type="data" outline="0" fieldPosition="0">
        <references count="2">
          <reference field="4294967294" count="1" selected="0">
            <x v="0"/>
          </reference>
          <reference field="10" count="1" selected="0">
            <x v="1"/>
          </reference>
        </references>
      </pivotArea>
    </chartFormat>
    <chartFormat chart="2" format="21" series="1">
      <pivotArea type="data" outline="0" fieldPosition="0">
        <references count="2">
          <reference field="4294967294" count="1" selected="0">
            <x v="0"/>
          </reference>
          <reference field="10" count="1" selected="0">
            <x v="2"/>
          </reference>
        </references>
      </pivotArea>
    </chartFormat>
    <chartFormat chart="2" format="22" series="1">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3"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7">
  <location ref="J70:K74" firstHeaderRow="1" firstDataRow="1" firstDataCol="1"/>
  <pivotFields count="13">
    <pivotField dataField="1" showAll="0"/>
    <pivotField numFmtId="164" showAll="0"/>
    <pivotField showAll="0" defaultSubtotal="0">
      <items count="3">
        <item x="0"/>
        <item x="1"/>
        <item x="2"/>
      </items>
    </pivotField>
    <pivotField showAll="0">
      <items count="5">
        <item x="2"/>
        <item x="0"/>
        <item x="3"/>
        <item x="1"/>
        <item t="default"/>
      </items>
    </pivotField>
    <pivotField showAll="0"/>
    <pivotField showAll="0"/>
    <pivotField showAll="0">
      <items count="6">
        <item x="4"/>
        <item x="0"/>
        <item x="3"/>
        <item x="1"/>
        <item x="2"/>
        <item t="default"/>
      </items>
    </pivotField>
    <pivotField showAll="0"/>
    <pivotField numFmtId="3" showAll="0"/>
    <pivotField showAll="0"/>
    <pivotField axis="axisRow" showAll="0">
      <items count="5">
        <item x="2"/>
        <item x="0"/>
        <item x="3"/>
        <item x="1"/>
        <item t="default"/>
      </items>
    </pivotField>
    <pivotField numFmtId="3" showAll="0"/>
    <pivotField showAll="0"/>
  </pivotFields>
  <rowFields count="1">
    <field x="10"/>
  </rowFields>
  <rowItems count="4">
    <i>
      <x/>
    </i>
    <i>
      <x v="1"/>
    </i>
    <i>
      <x v="2"/>
    </i>
    <i>
      <x v="3"/>
    </i>
  </rowItems>
  <colItems count="1">
    <i/>
  </colItems>
  <dataFields count="1">
    <dataField name="Count of Order ID" fld="0" subtotal="count" baseField="9" baseItem="0"/>
  </dataFields>
  <chartFormats count="2">
    <chartFormat chart="4" format="3"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Zone" sourceName="Zone">
  <pivotTables>
    <pivotTable tabId="3" name="PivotTable1"/>
    <pivotTable tabId="3" name="PivotTable2"/>
    <pivotTable tabId="3" name="PivotTable3"/>
    <pivotTable tabId="3" name="PivotTable4"/>
  </pivotTables>
  <data>
    <tabular pivotCacheId="1">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ivotTable1"/>
    <pivotTable tabId="3" name="PivotTable2"/>
    <pivotTable tabId="3" name="PivotTable3"/>
    <pivotTable tabId="3" name="PivotTable4"/>
  </pivotTables>
  <data>
    <tabular pivotCacheId="1">
      <items count="5">
        <i x="4" s="1"/>
        <i x="0" s="1"/>
        <i x="3"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Month" sourceName="Month">
  <pivotTables>
    <pivotTable tabId="3" name="PivotTable1"/>
    <pivotTable tabId="3" name="PivotTable2"/>
    <pivotTable tabId="3" name="PivotTable3"/>
    <pivotTable tabId="3" name="PivotTable4"/>
  </pivotTables>
  <data>
    <tabular pivotCacheId="1">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Zone" cache="Slicer_Zone" caption="Zone" startItem="1" style="SlicerStyleLight3" rowHeight="241300"/>
  <slicer name="Category" cache="Slicer_Category" caption="Category" style="SlicerStyleLight3" rowHeight="241300"/>
  <slicer name="Month" cache="Slicer_Month" caption="Month" startItem="1" style="SlicerStyleLight3" rowHeight="24130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4"/>
  <sheetViews>
    <sheetView zoomScale="115" zoomScaleNormal="115" workbookViewId="0">
      <selection activeCell="I5" sqref="I5"/>
    </sheetView>
  </sheetViews>
  <sheetFormatPr defaultRowHeight="15" x14ac:dyDescent="0.25"/>
  <cols>
    <col min="1" max="1" width="13.140625" customWidth="1"/>
    <col min="2" max="2" width="16.28515625" customWidth="1"/>
    <col min="3" max="3" width="11" customWidth="1"/>
    <col min="4" max="4" width="10.42578125" customWidth="1"/>
    <col min="5" max="5" width="11.85546875" customWidth="1"/>
    <col min="6" max="6" width="4.42578125" customWidth="1"/>
    <col min="7" max="7" width="19.85546875" customWidth="1"/>
    <col min="8" max="9" width="16.28515625" bestFit="1" customWidth="1"/>
    <col min="10" max="10" width="13.140625" customWidth="1"/>
    <col min="11" max="11" width="16.85546875" customWidth="1"/>
    <col min="12" max="12" width="9.7109375" customWidth="1"/>
    <col min="13" max="13" width="9.42578125" customWidth="1"/>
    <col min="14" max="14" width="8.28515625" customWidth="1"/>
    <col min="15" max="92" width="16.28515625" bestFit="1" customWidth="1"/>
    <col min="93" max="93" width="11.28515625" bestFit="1" customWidth="1"/>
  </cols>
  <sheetData>
    <row r="1" spans="1:7" x14ac:dyDescent="0.25">
      <c r="A1" s="7" t="s">
        <v>846</v>
      </c>
      <c r="B1" s="7" t="s">
        <v>845</v>
      </c>
    </row>
    <row r="2" spans="1:7" x14ac:dyDescent="0.25">
      <c r="A2" s="7" t="s">
        <v>840</v>
      </c>
      <c r="B2" t="s">
        <v>37</v>
      </c>
      <c r="C2" t="s">
        <v>16</v>
      </c>
      <c r="D2" t="s">
        <v>92</v>
      </c>
      <c r="E2" t="s">
        <v>27</v>
      </c>
      <c r="F2" t="s">
        <v>22</v>
      </c>
    </row>
    <row r="3" spans="1:7" x14ac:dyDescent="0.25">
      <c r="A3" s="8" t="s">
        <v>42</v>
      </c>
      <c r="B3" s="6">
        <v>14</v>
      </c>
      <c r="C3" s="6">
        <v>9</v>
      </c>
      <c r="D3" s="6">
        <v>14</v>
      </c>
      <c r="E3" s="6">
        <v>8</v>
      </c>
      <c r="F3" s="6">
        <v>21</v>
      </c>
    </row>
    <row r="4" spans="1:7" x14ac:dyDescent="0.25">
      <c r="A4" s="8" t="s">
        <v>17</v>
      </c>
      <c r="B4" s="6">
        <v>104</v>
      </c>
      <c r="C4" s="6">
        <v>114</v>
      </c>
      <c r="D4" s="6">
        <v>76</v>
      </c>
      <c r="E4" s="6">
        <v>65</v>
      </c>
      <c r="F4" s="6">
        <v>178</v>
      </c>
    </row>
    <row r="5" spans="1:7" x14ac:dyDescent="0.25">
      <c r="A5" s="8" t="s">
        <v>107</v>
      </c>
      <c r="B5" s="6">
        <v>9</v>
      </c>
      <c r="C5" s="6">
        <v>14</v>
      </c>
      <c r="D5" s="6">
        <v>5</v>
      </c>
      <c r="E5" s="6">
        <v>4</v>
      </c>
      <c r="F5" s="6">
        <v>18</v>
      </c>
    </row>
    <row r="6" spans="1:7" x14ac:dyDescent="0.25">
      <c r="A6" s="8" t="s">
        <v>28</v>
      </c>
      <c r="B6" s="6">
        <v>19</v>
      </c>
      <c r="C6" s="6">
        <v>25</v>
      </c>
      <c r="D6" s="6">
        <v>16</v>
      </c>
      <c r="E6" s="6">
        <v>7</v>
      </c>
      <c r="F6" s="6">
        <v>49</v>
      </c>
    </row>
    <row r="8" spans="1:7" x14ac:dyDescent="0.25">
      <c r="G8" s="6"/>
    </row>
    <row r="57" spans="1:7" x14ac:dyDescent="0.25">
      <c r="A57" s="7" t="s">
        <v>9</v>
      </c>
      <c r="B57" t="s">
        <v>844</v>
      </c>
    </row>
    <row r="59" spans="1:7" x14ac:dyDescent="0.25">
      <c r="A59" s="7" t="s">
        <v>840</v>
      </c>
      <c r="B59" t="s">
        <v>843</v>
      </c>
    </row>
    <row r="60" spans="1:7" x14ac:dyDescent="0.25">
      <c r="A60" s="8" t="s">
        <v>24</v>
      </c>
      <c r="B60" s="6">
        <v>376400</v>
      </c>
    </row>
    <row r="61" spans="1:7" x14ac:dyDescent="0.25">
      <c r="A61" s="8" t="s">
        <v>12</v>
      </c>
      <c r="B61" s="6">
        <v>331700</v>
      </c>
    </row>
    <row r="62" spans="1:7" x14ac:dyDescent="0.25">
      <c r="A62" s="8" t="s">
        <v>30</v>
      </c>
      <c r="B62" s="6">
        <v>228600</v>
      </c>
    </row>
    <row r="63" spans="1:7" x14ac:dyDescent="0.25">
      <c r="A63" s="8" t="s">
        <v>19</v>
      </c>
      <c r="B63" s="6">
        <v>687500</v>
      </c>
      <c r="F63" s="7" t="s">
        <v>9</v>
      </c>
      <c r="G63" t="s">
        <v>844</v>
      </c>
    </row>
    <row r="65" spans="6:11" x14ac:dyDescent="0.25">
      <c r="F65" s="7" t="s">
        <v>840</v>
      </c>
      <c r="G65" t="s">
        <v>843</v>
      </c>
    </row>
    <row r="66" spans="6:11" x14ac:dyDescent="0.25">
      <c r="F66" s="8" t="s">
        <v>53</v>
      </c>
      <c r="G66" s="6">
        <v>1163000</v>
      </c>
    </row>
    <row r="67" spans="6:11" x14ac:dyDescent="0.25">
      <c r="F67" s="8" t="s">
        <v>15</v>
      </c>
      <c r="G67" s="6">
        <v>7142700</v>
      </c>
    </row>
    <row r="68" spans="6:11" x14ac:dyDescent="0.25">
      <c r="F68" s="8" t="s">
        <v>46</v>
      </c>
      <c r="G68" s="6">
        <v>414300</v>
      </c>
    </row>
    <row r="69" spans="6:11" x14ac:dyDescent="0.25">
      <c r="F69" s="8" t="s">
        <v>36</v>
      </c>
      <c r="G69" s="6">
        <v>1420000</v>
      </c>
    </row>
    <row r="70" spans="6:11" x14ac:dyDescent="0.25">
      <c r="F70" s="8" t="s">
        <v>41</v>
      </c>
      <c r="G70" s="6">
        <v>243400</v>
      </c>
      <c r="J70" s="7" t="s">
        <v>840</v>
      </c>
      <c r="K70" t="s">
        <v>847</v>
      </c>
    </row>
    <row r="71" spans="6:11" x14ac:dyDescent="0.25">
      <c r="J71" s="8" t="s">
        <v>42</v>
      </c>
      <c r="K71" s="6">
        <v>54</v>
      </c>
    </row>
    <row r="72" spans="6:11" x14ac:dyDescent="0.25">
      <c r="J72" s="8" t="s">
        <v>17</v>
      </c>
      <c r="K72" s="6">
        <v>424</v>
      </c>
    </row>
    <row r="73" spans="6:11" x14ac:dyDescent="0.25">
      <c r="J73" s="8" t="s">
        <v>107</v>
      </c>
      <c r="K73" s="6">
        <v>38</v>
      </c>
    </row>
    <row r="74" spans="6:11" x14ac:dyDescent="0.25">
      <c r="J74" s="8" t="s">
        <v>28</v>
      </c>
      <c r="K74" s="6">
        <v>84</v>
      </c>
    </row>
  </sheetData>
  <pageMargins left="0.7" right="0.7" top="0.75" bottom="0.75" header="0.3" footer="0.3"/>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603"/>
  <sheetViews>
    <sheetView zoomScaleNormal="100" workbookViewId="0">
      <pane ySplit="1" topLeftCell="A2" activePane="bottomLeft" state="frozen"/>
      <selection pane="bottomLeft" activeCell="G15" sqref="G15"/>
    </sheetView>
  </sheetViews>
  <sheetFormatPr defaultColWidth="8.7109375" defaultRowHeight="15" x14ac:dyDescent="0.25"/>
  <cols>
    <col min="1" max="1" width="9.7109375" bestFit="1" customWidth="1"/>
    <col min="2" max="2" width="10.85546875" bestFit="1" customWidth="1"/>
    <col min="3" max="3" width="10.85546875" customWidth="1"/>
    <col min="4" max="4" width="6.42578125" bestFit="1" customWidth="1"/>
    <col min="5" max="5" width="13.7109375" bestFit="1" customWidth="1"/>
    <col min="6" max="6" width="23.5703125" bestFit="1" customWidth="1"/>
    <col min="7" max="7" width="12.85546875" bestFit="1" customWidth="1"/>
    <col min="8" max="8" width="4.42578125" bestFit="1" customWidth="1"/>
    <col min="9" max="9" width="7.28515625" bestFit="1" customWidth="1"/>
    <col min="10" max="10" width="18.140625" bestFit="1" customWidth="1"/>
    <col min="11" max="11" width="14.140625" bestFit="1" customWidth="1"/>
    <col min="12" max="12" width="14.42578125" bestFit="1" customWidth="1"/>
    <col min="13" max="13" width="14.85546875" bestFit="1" customWidth="1"/>
  </cols>
  <sheetData>
    <row r="1" spans="1:13" x14ac:dyDescent="0.25">
      <c r="A1" s="1" t="s">
        <v>0</v>
      </c>
      <c r="B1" s="1" t="s">
        <v>1</v>
      </c>
      <c r="C1" s="1" t="s">
        <v>848</v>
      </c>
      <c r="D1" s="1" t="s">
        <v>2</v>
      </c>
      <c r="E1" s="1" t="s">
        <v>3</v>
      </c>
      <c r="F1" s="1" t="s">
        <v>4</v>
      </c>
      <c r="G1" s="1" t="s">
        <v>5</v>
      </c>
      <c r="H1" s="1" t="s">
        <v>6</v>
      </c>
      <c r="I1" s="1" t="s">
        <v>7</v>
      </c>
      <c r="J1" s="1" t="s">
        <v>8</v>
      </c>
      <c r="K1" s="1" t="s">
        <v>9</v>
      </c>
      <c r="L1" s="1" t="s">
        <v>10</v>
      </c>
      <c r="M1" s="1" t="s">
        <v>839</v>
      </c>
    </row>
    <row r="2" spans="1:13" x14ac:dyDescent="0.25">
      <c r="A2" s="2" t="s">
        <v>11</v>
      </c>
      <c r="B2" s="3">
        <v>46296</v>
      </c>
      <c r="C2" s="3" t="s">
        <v>849</v>
      </c>
      <c r="D2" s="2" t="s">
        <v>12</v>
      </c>
      <c r="E2" s="2" t="s">
        <v>13</v>
      </c>
      <c r="F2" s="2" t="s">
        <v>14</v>
      </c>
      <c r="G2" s="2" t="s">
        <v>15</v>
      </c>
      <c r="H2" s="2">
        <v>1</v>
      </c>
      <c r="I2" s="4">
        <v>65000</v>
      </c>
      <c r="J2" s="2" t="s">
        <v>16</v>
      </c>
      <c r="K2" s="2" t="s">
        <v>17</v>
      </c>
      <c r="L2" s="4">
        <f t="shared" ref="L2:L65" si="0">H2*I2</f>
        <v>65000</v>
      </c>
      <c r="M2" t="str">
        <f>IF(OR(K2="Cancelled",K2="Returned"),"Not Counted","Counted")</f>
        <v>Counted</v>
      </c>
    </row>
    <row r="3" spans="1:13" x14ac:dyDescent="0.25">
      <c r="A3" s="2" t="s">
        <v>18</v>
      </c>
      <c r="B3" s="3">
        <v>46296</v>
      </c>
      <c r="C3" s="3" t="s">
        <v>849</v>
      </c>
      <c r="D3" s="2" t="s">
        <v>19</v>
      </c>
      <c r="E3" s="2" t="s">
        <v>20</v>
      </c>
      <c r="F3" s="2" t="s">
        <v>21</v>
      </c>
      <c r="G3" s="2" t="s">
        <v>15</v>
      </c>
      <c r="H3" s="2">
        <v>1</v>
      </c>
      <c r="I3" s="4">
        <v>62000</v>
      </c>
      <c r="J3" s="2" t="s">
        <v>22</v>
      </c>
      <c r="K3" s="2" t="s">
        <v>17</v>
      </c>
      <c r="L3" s="4">
        <f t="shared" si="0"/>
        <v>62000</v>
      </c>
      <c r="M3" t="str">
        <f t="shared" ref="M3:M66" si="1">IF(OR(K3="Cancelled",K3="Returned"),"Not Counted","Counted")</f>
        <v>Counted</v>
      </c>
    </row>
    <row r="4" spans="1:13" x14ac:dyDescent="0.25">
      <c r="A4" s="2" t="s">
        <v>23</v>
      </c>
      <c r="B4" s="3">
        <v>46297</v>
      </c>
      <c r="C4" s="3" t="s">
        <v>849</v>
      </c>
      <c r="D4" s="2" t="s">
        <v>24</v>
      </c>
      <c r="E4" s="2" t="s">
        <v>25</v>
      </c>
      <c r="F4" s="2" t="s">
        <v>26</v>
      </c>
      <c r="G4" s="2" t="s">
        <v>15</v>
      </c>
      <c r="H4" s="2">
        <v>1</v>
      </c>
      <c r="I4" s="4">
        <v>24000</v>
      </c>
      <c r="J4" s="2" t="s">
        <v>27</v>
      </c>
      <c r="K4" s="2" t="s">
        <v>28</v>
      </c>
      <c r="L4" s="4">
        <f t="shared" si="0"/>
        <v>24000</v>
      </c>
      <c r="M4" t="str">
        <f t="shared" si="1"/>
        <v>Counted</v>
      </c>
    </row>
    <row r="5" spans="1:13" x14ac:dyDescent="0.25">
      <c r="A5" s="2" t="s">
        <v>29</v>
      </c>
      <c r="B5" s="3">
        <v>46297</v>
      </c>
      <c r="C5" s="3" t="s">
        <v>849</v>
      </c>
      <c r="D5" s="2" t="s">
        <v>30</v>
      </c>
      <c r="E5" s="2" t="s">
        <v>31</v>
      </c>
      <c r="F5" s="2" t="s">
        <v>32</v>
      </c>
      <c r="G5" s="2" t="s">
        <v>15</v>
      </c>
      <c r="H5" s="2">
        <v>1</v>
      </c>
      <c r="I5" s="4">
        <v>52000</v>
      </c>
      <c r="J5" s="2" t="s">
        <v>16</v>
      </c>
      <c r="K5" s="2" t="s">
        <v>17</v>
      </c>
      <c r="L5" s="4">
        <f t="shared" si="0"/>
        <v>52000</v>
      </c>
      <c r="M5" t="str">
        <f t="shared" si="1"/>
        <v>Counted</v>
      </c>
    </row>
    <row r="6" spans="1:13" x14ac:dyDescent="0.25">
      <c r="A6" s="2" t="s">
        <v>33</v>
      </c>
      <c r="B6" s="3">
        <v>46298</v>
      </c>
      <c r="C6" s="3" t="s">
        <v>849</v>
      </c>
      <c r="D6" s="2" t="s">
        <v>12</v>
      </c>
      <c r="E6" s="2" t="s">
        <v>34</v>
      </c>
      <c r="F6" s="2" t="s">
        <v>35</v>
      </c>
      <c r="G6" s="2" t="s">
        <v>36</v>
      </c>
      <c r="H6" s="2">
        <v>2</v>
      </c>
      <c r="I6" s="4">
        <v>12000</v>
      </c>
      <c r="J6" s="2" t="s">
        <v>37</v>
      </c>
      <c r="K6" s="2" t="s">
        <v>17</v>
      </c>
      <c r="L6" s="4">
        <f t="shared" si="0"/>
        <v>24000</v>
      </c>
      <c r="M6" t="str">
        <f t="shared" si="1"/>
        <v>Counted</v>
      </c>
    </row>
    <row r="7" spans="1:13" x14ac:dyDescent="0.25">
      <c r="A7" s="2" t="s">
        <v>38</v>
      </c>
      <c r="B7" s="3">
        <v>46298</v>
      </c>
      <c r="C7" s="3" t="s">
        <v>849</v>
      </c>
      <c r="D7" s="2" t="s">
        <v>19</v>
      </c>
      <c r="E7" s="2" t="s">
        <v>39</v>
      </c>
      <c r="F7" s="2" t="s">
        <v>40</v>
      </c>
      <c r="G7" s="2" t="s">
        <v>41</v>
      </c>
      <c r="H7" s="2">
        <v>3</v>
      </c>
      <c r="I7" s="4">
        <v>2400</v>
      </c>
      <c r="J7" s="2" t="s">
        <v>22</v>
      </c>
      <c r="K7" s="2" t="s">
        <v>42</v>
      </c>
      <c r="L7" s="4">
        <f t="shared" si="0"/>
        <v>7200</v>
      </c>
      <c r="M7" t="str">
        <f t="shared" si="1"/>
        <v>Not Counted</v>
      </c>
    </row>
    <row r="8" spans="1:13" x14ac:dyDescent="0.25">
      <c r="A8" s="2" t="s">
        <v>43</v>
      </c>
      <c r="B8" s="3">
        <v>46299</v>
      </c>
      <c r="C8" s="3" t="s">
        <v>849</v>
      </c>
      <c r="D8" s="2" t="s">
        <v>24</v>
      </c>
      <c r="E8" s="2" t="s">
        <v>44</v>
      </c>
      <c r="F8" s="2" t="s">
        <v>45</v>
      </c>
      <c r="G8" s="2" t="s">
        <v>46</v>
      </c>
      <c r="H8" s="2">
        <v>1</v>
      </c>
      <c r="I8" s="4">
        <v>3500</v>
      </c>
      <c r="J8" s="2" t="s">
        <v>22</v>
      </c>
      <c r="K8" s="2" t="s">
        <v>17</v>
      </c>
      <c r="L8" s="4">
        <f t="shared" si="0"/>
        <v>3500</v>
      </c>
      <c r="M8" t="str">
        <f t="shared" si="1"/>
        <v>Counted</v>
      </c>
    </row>
    <row r="9" spans="1:13" x14ac:dyDescent="0.25">
      <c r="A9" s="2" t="s">
        <v>47</v>
      </c>
      <c r="B9" s="3">
        <v>46299</v>
      </c>
      <c r="C9" s="3" t="s">
        <v>849</v>
      </c>
      <c r="D9" s="2" t="s">
        <v>30</v>
      </c>
      <c r="E9" s="2" t="s">
        <v>48</v>
      </c>
      <c r="F9" s="2" t="s">
        <v>49</v>
      </c>
      <c r="G9" s="2" t="s">
        <v>46</v>
      </c>
      <c r="H9" s="2">
        <v>2</v>
      </c>
      <c r="I9" s="4">
        <v>5000</v>
      </c>
      <c r="J9" s="2" t="s">
        <v>37</v>
      </c>
      <c r="K9" s="2" t="s">
        <v>28</v>
      </c>
      <c r="L9" s="4">
        <f t="shared" si="0"/>
        <v>10000</v>
      </c>
      <c r="M9" t="str">
        <f t="shared" si="1"/>
        <v>Counted</v>
      </c>
    </row>
    <row r="10" spans="1:13" x14ac:dyDescent="0.25">
      <c r="A10" s="2" t="s">
        <v>50</v>
      </c>
      <c r="B10" s="3">
        <v>46300</v>
      </c>
      <c r="C10" s="3" t="s">
        <v>849</v>
      </c>
      <c r="D10" s="2" t="s">
        <v>12</v>
      </c>
      <c r="E10" s="2" t="s">
        <v>51</v>
      </c>
      <c r="F10" s="2" t="s">
        <v>52</v>
      </c>
      <c r="G10" s="2" t="s">
        <v>53</v>
      </c>
      <c r="H10" s="2">
        <v>1</v>
      </c>
      <c r="I10" s="4">
        <v>8500</v>
      </c>
      <c r="J10" s="2" t="s">
        <v>16</v>
      </c>
      <c r="K10" s="2" t="s">
        <v>17</v>
      </c>
      <c r="L10" s="4">
        <f t="shared" si="0"/>
        <v>8500</v>
      </c>
      <c r="M10" t="str">
        <f t="shared" si="1"/>
        <v>Counted</v>
      </c>
    </row>
    <row r="11" spans="1:13" x14ac:dyDescent="0.25">
      <c r="A11" s="2" t="s">
        <v>54</v>
      </c>
      <c r="B11" s="3">
        <v>46300</v>
      </c>
      <c r="C11" s="3" t="s">
        <v>849</v>
      </c>
      <c r="D11" s="2" t="s">
        <v>12</v>
      </c>
      <c r="E11" s="2" t="s">
        <v>55</v>
      </c>
      <c r="F11" s="2" t="s">
        <v>56</v>
      </c>
      <c r="G11" s="2" t="s">
        <v>46</v>
      </c>
      <c r="H11" s="2">
        <v>1</v>
      </c>
      <c r="I11" s="4">
        <v>7500</v>
      </c>
      <c r="J11" s="2" t="s">
        <v>16</v>
      </c>
      <c r="K11" s="2" t="s">
        <v>17</v>
      </c>
      <c r="L11" s="4">
        <f t="shared" si="0"/>
        <v>7500</v>
      </c>
      <c r="M11" t="str">
        <f t="shared" si="1"/>
        <v>Counted</v>
      </c>
    </row>
    <row r="12" spans="1:13" x14ac:dyDescent="0.25">
      <c r="A12" s="2" t="s">
        <v>57</v>
      </c>
      <c r="B12" s="3">
        <v>46300</v>
      </c>
      <c r="C12" s="3" t="s">
        <v>849</v>
      </c>
      <c r="D12" s="2" t="s">
        <v>12</v>
      </c>
      <c r="E12" s="2" t="s">
        <v>58</v>
      </c>
      <c r="F12" s="2" t="s">
        <v>59</v>
      </c>
      <c r="G12" s="2" t="s">
        <v>53</v>
      </c>
      <c r="H12" s="2">
        <v>1</v>
      </c>
      <c r="I12" s="4">
        <v>3800</v>
      </c>
      <c r="J12" s="2" t="s">
        <v>22</v>
      </c>
      <c r="K12" s="2" t="s">
        <v>42</v>
      </c>
      <c r="L12" s="4">
        <f t="shared" si="0"/>
        <v>3800</v>
      </c>
      <c r="M12" t="str">
        <f t="shared" si="1"/>
        <v>Not Counted</v>
      </c>
    </row>
    <row r="13" spans="1:13" x14ac:dyDescent="0.25">
      <c r="A13" s="2" t="s">
        <v>60</v>
      </c>
      <c r="B13" s="3">
        <v>46300</v>
      </c>
      <c r="C13" s="3" t="s">
        <v>849</v>
      </c>
      <c r="D13" s="2" t="s">
        <v>19</v>
      </c>
      <c r="E13" s="2" t="s">
        <v>61</v>
      </c>
      <c r="F13" s="2" t="s">
        <v>62</v>
      </c>
      <c r="G13" s="2" t="s">
        <v>41</v>
      </c>
      <c r="H13" s="2">
        <v>1</v>
      </c>
      <c r="I13" s="4">
        <v>2200</v>
      </c>
      <c r="J13" s="2" t="s">
        <v>16</v>
      </c>
      <c r="K13" s="2" t="s">
        <v>17</v>
      </c>
      <c r="L13" s="4">
        <f t="shared" si="0"/>
        <v>2200</v>
      </c>
      <c r="M13" t="str">
        <f t="shared" si="1"/>
        <v>Counted</v>
      </c>
    </row>
    <row r="14" spans="1:13" x14ac:dyDescent="0.25">
      <c r="A14" s="2" t="s">
        <v>63</v>
      </c>
      <c r="B14" s="3">
        <v>46300</v>
      </c>
      <c r="C14" s="3" t="s">
        <v>849</v>
      </c>
      <c r="D14" s="2" t="s">
        <v>19</v>
      </c>
      <c r="E14" s="2" t="s">
        <v>64</v>
      </c>
      <c r="F14" s="2" t="s">
        <v>65</v>
      </c>
      <c r="G14" s="2" t="s">
        <v>36</v>
      </c>
      <c r="H14" s="2">
        <v>2</v>
      </c>
      <c r="I14" s="4">
        <v>28000</v>
      </c>
      <c r="J14" s="2" t="s">
        <v>27</v>
      </c>
      <c r="K14" s="2" t="s">
        <v>42</v>
      </c>
      <c r="L14" s="4">
        <f t="shared" si="0"/>
        <v>56000</v>
      </c>
      <c r="M14" t="str">
        <f t="shared" si="1"/>
        <v>Not Counted</v>
      </c>
    </row>
    <row r="15" spans="1:13" x14ac:dyDescent="0.25">
      <c r="A15" s="2" t="s">
        <v>66</v>
      </c>
      <c r="B15" s="3">
        <v>46300</v>
      </c>
      <c r="C15" s="3" t="s">
        <v>849</v>
      </c>
      <c r="D15" s="2" t="s">
        <v>19</v>
      </c>
      <c r="E15" s="2" t="s">
        <v>67</v>
      </c>
      <c r="F15" s="2" t="s">
        <v>68</v>
      </c>
      <c r="G15" s="2" t="s">
        <v>41</v>
      </c>
      <c r="H15" s="2">
        <v>2</v>
      </c>
      <c r="I15" s="4">
        <v>1500</v>
      </c>
      <c r="J15" s="2" t="s">
        <v>27</v>
      </c>
      <c r="K15" s="2" t="s">
        <v>17</v>
      </c>
      <c r="L15" s="4">
        <f t="shared" si="0"/>
        <v>3000</v>
      </c>
      <c r="M15" t="str">
        <f t="shared" si="1"/>
        <v>Counted</v>
      </c>
    </row>
    <row r="16" spans="1:13" x14ac:dyDescent="0.25">
      <c r="A16" s="2" t="s">
        <v>69</v>
      </c>
      <c r="B16" s="3">
        <v>46300</v>
      </c>
      <c r="C16" s="3" t="s">
        <v>849</v>
      </c>
      <c r="D16" s="2" t="s">
        <v>24</v>
      </c>
      <c r="E16" s="2" t="s">
        <v>70</v>
      </c>
      <c r="F16" s="2" t="s">
        <v>35</v>
      </c>
      <c r="G16" s="2" t="s">
        <v>36</v>
      </c>
      <c r="H16" s="2">
        <v>1</v>
      </c>
      <c r="I16" s="4">
        <v>12000</v>
      </c>
      <c r="J16" s="2" t="s">
        <v>27</v>
      </c>
      <c r="K16" s="2" t="s">
        <v>17</v>
      </c>
      <c r="L16" s="4">
        <f t="shared" si="0"/>
        <v>12000</v>
      </c>
      <c r="M16" t="str">
        <f t="shared" si="1"/>
        <v>Counted</v>
      </c>
    </row>
    <row r="17" spans="1:13" x14ac:dyDescent="0.25">
      <c r="A17" s="2" t="s">
        <v>71</v>
      </c>
      <c r="B17" s="3">
        <v>46300</v>
      </c>
      <c r="C17" s="3" t="s">
        <v>849</v>
      </c>
      <c r="D17" s="2" t="s">
        <v>12</v>
      </c>
      <c r="E17" s="2" t="s">
        <v>72</v>
      </c>
      <c r="F17" s="2" t="s">
        <v>73</v>
      </c>
      <c r="G17" s="2" t="s">
        <v>15</v>
      </c>
      <c r="H17" s="2">
        <v>1</v>
      </c>
      <c r="I17" s="4">
        <v>18000</v>
      </c>
      <c r="J17" s="2" t="s">
        <v>22</v>
      </c>
      <c r="K17" s="2" t="s">
        <v>17</v>
      </c>
      <c r="L17" s="4">
        <f t="shared" si="0"/>
        <v>18000</v>
      </c>
      <c r="M17" t="str">
        <f t="shared" si="1"/>
        <v>Counted</v>
      </c>
    </row>
    <row r="18" spans="1:13" x14ac:dyDescent="0.25">
      <c r="A18" s="2" t="s">
        <v>74</v>
      </c>
      <c r="B18" s="3">
        <v>46300</v>
      </c>
      <c r="C18" s="3" t="s">
        <v>849</v>
      </c>
      <c r="D18" s="2" t="s">
        <v>12</v>
      </c>
      <c r="E18" s="2" t="s">
        <v>75</v>
      </c>
      <c r="F18" s="2" t="s">
        <v>65</v>
      </c>
      <c r="G18" s="2" t="s">
        <v>36</v>
      </c>
      <c r="H18" s="2">
        <v>2</v>
      </c>
      <c r="I18" s="4">
        <v>28000</v>
      </c>
      <c r="J18" s="2" t="s">
        <v>22</v>
      </c>
      <c r="K18" s="2" t="s">
        <v>17</v>
      </c>
      <c r="L18" s="4">
        <f t="shared" si="0"/>
        <v>56000</v>
      </c>
      <c r="M18" t="str">
        <f t="shared" si="1"/>
        <v>Counted</v>
      </c>
    </row>
    <row r="19" spans="1:13" x14ac:dyDescent="0.25">
      <c r="A19" s="2" t="s">
        <v>76</v>
      </c>
      <c r="B19" s="3">
        <v>46301</v>
      </c>
      <c r="C19" s="3" t="s">
        <v>849</v>
      </c>
      <c r="D19" s="2" t="s">
        <v>12</v>
      </c>
      <c r="E19" s="2" t="s">
        <v>77</v>
      </c>
      <c r="F19" s="2" t="s">
        <v>32</v>
      </c>
      <c r="G19" s="2" t="s">
        <v>15</v>
      </c>
      <c r="H19" s="2">
        <v>1</v>
      </c>
      <c r="I19" s="4">
        <v>52000</v>
      </c>
      <c r="J19" s="2" t="s">
        <v>16</v>
      </c>
      <c r="K19" s="2" t="s">
        <v>17</v>
      </c>
      <c r="L19" s="4">
        <f t="shared" si="0"/>
        <v>52000</v>
      </c>
      <c r="M19" t="str">
        <f t="shared" si="1"/>
        <v>Counted</v>
      </c>
    </row>
    <row r="20" spans="1:13" x14ac:dyDescent="0.25">
      <c r="A20" s="2" t="s">
        <v>78</v>
      </c>
      <c r="B20" s="3">
        <v>46301</v>
      </c>
      <c r="C20" s="3" t="s">
        <v>849</v>
      </c>
      <c r="D20" s="2" t="s">
        <v>19</v>
      </c>
      <c r="E20" s="2" t="s">
        <v>79</v>
      </c>
      <c r="F20" s="2" t="s">
        <v>68</v>
      </c>
      <c r="G20" s="2" t="s">
        <v>41</v>
      </c>
      <c r="H20" s="2">
        <v>1</v>
      </c>
      <c r="I20" s="4">
        <v>1500</v>
      </c>
      <c r="J20" s="2" t="s">
        <v>37</v>
      </c>
      <c r="K20" s="2" t="s">
        <v>17</v>
      </c>
      <c r="L20" s="4">
        <f t="shared" si="0"/>
        <v>1500</v>
      </c>
      <c r="M20" t="str">
        <f t="shared" si="1"/>
        <v>Counted</v>
      </c>
    </row>
    <row r="21" spans="1:13" x14ac:dyDescent="0.25">
      <c r="A21" s="2" t="s">
        <v>80</v>
      </c>
      <c r="B21" s="3">
        <v>46301</v>
      </c>
      <c r="C21" s="3" t="s">
        <v>849</v>
      </c>
      <c r="D21" s="2" t="s">
        <v>19</v>
      </c>
      <c r="E21" s="2" t="s">
        <v>81</v>
      </c>
      <c r="F21" s="2" t="s">
        <v>59</v>
      </c>
      <c r="G21" s="2" t="s">
        <v>53</v>
      </c>
      <c r="H21" s="2">
        <v>1</v>
      </c>
      <c r="I21" s="4">
        <v>3800</v>
      </c>
      <c r="J21" s="2" t="s">
        <v>22</v>
      </c>
      <c r="K21" s="2" t="s">
        <v>17</v>
      </c>
      <c r="L21" s="4">
        <f t="shared" si="0"/>
        <v>3800</v>
      </c>
      <c r="M21" t="str">
        <f t="shared" si="1"/>
        <v>Counted</v>
      </c>
    </row>
    <row r="22" spans="1:13" x14ac:dyDescent="0.25">
      <c r="A22" s="2" t="s">
        <v>82</v>
      </c>
      <c r="B22" s="3">
        <v>46301</v>
      </c>
      <c r="C22" s="3" t="s">
        <v>849</v>
      </c>
      <c r="D22" s="2" t="s">
        <v>19</v>
      </c>
      <c r="E22" s="2" t="s">
        <v>83</v>
      </c>
      <c r="F22" s="2" t="s">
        <v>84</v>
      </c>
      <c r="G22" s="2" t="s">
        <v>53</v>
      </c>
      <c r="H22" s="2">
        <v>1</v>
      </c>
      <c r="I22" s="4">
        <v>22000</v>
      </c>
      <c r="J22" s="2" t="s">
        <v>27</v>
      </c>
      <c r="K22" s="2" t="s">
        <v>17</v>
      </c>
      <c r="L22" s="4">
        <f t="shared" si="0"/>
        <v>22000</v>
      </c>
      <c r="M22" t="str">
        <f t="shared" si="1"/>
        <v>Counted</v>
      </c>
    </row>
    <row r="23" spans="1:13" x14ac:dyDescent="0.25">
      <c r="A23" s="2" t="s">
        <v>85</v>
      </c>
      <c r="B23" s="3">
        <v>46301</v>
      </c>
      <c r="C23" s="3" t="s">
        <v>849</v>
      </c>
      <c r="D23" s="2" t="s">
        <v>19</v>
      </c>
      <c r="E23" s="2" t="s">
        <v>86</v>
      </c>
      <c r="F23" s="2" t="s">
        <v>87</v>
      </c>
      <c r="G23" s="2" t="s">
        <v>46</v>
      </c>
      <c r="H23" s="2">
        <v>2</v>
      </c>
      <c r="I23" s="4">
        <v>1600</v>
      </c>
      <c r="J23" s="2" t="s">
        <v>22</v>
      </c>
      <c r="K23" s="2" t="s">
        <v>17</v>
      </c>
      <c r="L23" s="4">
        <f t="shared" si="0"/>
        <v>3200</v>
      </c>
      <c r="M23" t="str">
        <f t="shared" si="1"/>
        <v>Counted</v>
      </c>
    </row>
    <row r="24" spans="1:13" x14ac:dyDescent="0.25">
      <c r="A24" s="2" t="s">
        <v>88</v>
      </c>
      <c r="B24" s="3">
        <v>46302</v>
      </c>
      <c r="C24" s="3" t="s">
        <v>849</v>
      </c>
      <c r="D24" s="2" t="s">
        <v>19</v>
      </c>
      <c r="E24" s="2" t="s">
        <v>89</v>
      </c>
      <c r="F24" s="2" t="s">
        <v>40</v>
      </c>
      <c r="G24" s="2" t="s">
        <v>41</v>
      </c>
      <c r="H24" s="2">
        <v>1</v>
      </c>
      <c r="I24" s="4">
        <v>2400</v>
      </c>
      <c r="J24" s="2" t="s">
        <v>22</v>
      </c>
      <c r="K24" s="2" t="s">
        <v>17</v>
      </c>
      <c r="L24" s="4">
        <f t="shared" si="0"/>
        <v>2400</v>
      </c>
      <c r="M24" t="str">
        <f t="shared" si="1"/>
        <v>Counted</v>
      </c>
    </row>
    <row r="25" spans="1:13" x14ac:dyDescent="0.25">
      <c r="A25" s="2" t="s">
        <v>90</v>
      </c>
      <c r="B25" s="3">
        <v>46302</v>
      </c>
      <c r="C25" s="3" t="s">
        <v>849</v>
      </c>
      <c r="D25" s="2" t="s">
        <v>12</v>
      </c>
      <c r="E25" s="2" t="s">
        <v>91</v>
      </c>
      <c r="F25" s="2" t="s">
        <v>32</v>
      </c>
      <c r="G25" s="2" t="s">
        <v>15</v>
      </c>
      <c r="H25" s="2">
        <v>2</v>
      </c>
      <c r="I25" s="4">
        <v>52000</v>
      </c>
      <c r="J25" s="2" t="s">
        <v>92</v>
      </c>
      <c r="K25" s="2" t="s">
        <v>17</v>
      </c>
      <c r="L25" s="4">
        <f t="shared" si="0"/>
        <v>104000</v>
      </c>
      <c r="M25" t="str">
        <f t="shared" si="1"/>
        <v>Counted</v>
      </c>
    </row>
    <row r="26" spans="1:13" x14ac:dyDescent="0.25">
      <c r="A26" s="2" t="s">
        <v>93</v>
      </c>
      <c r="B26" s="3">
        <v>46303</v>
      </c>
      <c r="C26" s="3" t="s">
        <v>849</v>
      </c>
      <c r="D26" s="2" t="s">
        <v>30</v>
      </c>
      <c r="E26" s="2" t="s">
        <v>94</v>
      </c>
      <c r="F26" s="2" t="s">
        <v>95</v>
      </c>
      <c r="G26" s="2" t="s">
        <v>15</v>
      </c>
      <c r="H26" s="2">
        <v>1</v>
      </c>
      <c r="I26" s="4">
        <v>58000</v>
      </c>
      <c r="J26" s="2" t="s">
        <v>22</v>
      </c>
      <c r="K26" s="2" t="s">
        <v>17</v>
      </c>
      <c r="L26" s="4">
        <f t="shared" si="0"/>
        <v>58000</v>
      </c>
      <c r="M26" t="str">
        <f t="shared" si="1"/>
        <v>Counted</v>
      </c>
    </row>
    <row r="27" spans="1:13" x14ac:dyDescent="0.25">
      <c r="A27" s="2" t="s">
        <v>96</v>
      </c>
      <c r="B27" s="3">
        <v>46303</v>
      </c>
      <c r="C27" s="3" t="s">
        <v>849</v>
      </c>
      <c r="D27" s="2" t="s">
        <v>24</v>
      </c>
      <c r="E27" s="2" t="s">
        <v>97</v>
      </c>
      <c r="F27" s="2" t="s">
        <v>65</v>
      </c>
      <c r="G27" s="2" t="s">
        <v>36</v>
      </c>
      <c r="H27" s="2">
        <v>1</v>
      </c>
      <c r="I27" s="4">
        <v>28000</v>
      </c>
      <c r="J27" s="2" t="s">
        <v>27</v>
      </c>
      <c r="K27" s="2" t="s">
        <v>17</v>
      </c>
      <c r="L27" s="4">
        <f t="shared" si="0"/>
        <v>28000</v>
      </c>
      <c r="M27" t="str">
        <f t="shared" si="1"/>
        <v>Counted</v>
      </c>
    </row>
    <row r="28" spans="1:13" x14ac:dyDescent="0.25">
      <c r="A28" s="2" t="s">
        <v>98</v>
      </c>
      <c r="B28" s="3">
        <v>46303</v>
      </c>
      <c r="C28" s="3" t="s">
        <v>849</v>
      </c>
      <c r="D28" s="2" t="s">
        <v>19</v>
      </c>
      <c r="E28" s="2" t="s">
        <v>99</v>
      </c>
      <c r="F28" s="2" t="s">
        <v>84</v>
      </c>
      <c r="G28" s="2" t="s">
        <v>53</v>
      </c>
      <c r="H28" s="2">
        <v>2</v>
      </c>
      <c r="I28" s="4">
        <v>22000</v>
      </c>
      <c r="J28" s="2" t="s">
        <v>37</v>
      </c>
      <c r="K28" s="2" t="s">
        <v>17</v>
      </c>
      <c r="L28" s="4">
        <f t="shared" si="0"/>
        <v>44000</v>
      </c>
      <c r="M28" t="str">
        <f t="shared" si="1"/>
        <v>Counted</v>
      </c>
    </row>
    <row r="29" spans="1:13" x14ac:dyDescent="0.25">
      <c r="A29" s="2" t="s">
        <v>100</v>
      </c>
      <c r="B29" s="3">
        <v>46303</v>
      </c>
      <c r="C29" s="3" t="s">
        <v>849</v>
      </c>
      <c r="D29" s="2" t="s">
        <v>24</v>
      </c>
      <c r="E29" s="2" t="s">
        <v>101</v>
      </c>
      <c r="F29" s="2" t="s">
        <v>102</v>
      </c>
      <c r="G29" s="2" t="s">
        <v>53</v>
      </c>
      <c r="H29" s="2">
        <v>1</v>
      </c>
      <c r="I29" s="4">
        <v>12500</v>
      </c>
      <c r="J29" s="2" t="s">
        <v>92</v>
      </c>
      <c r="K29" s="2" t="s">
        <v>28</v>
      </c>
      <c r="L29" s="4">
        <f t="shared" si="0"/>
        <v>12500</v>
      </c>
      <c r="M29" t="str">
        <f t="shared" si="1"/>
        <v>Counted</v>
      </c>
    </row>
    <row r="30" spans="1:13" x14ac:dyDescent="0.25">
      <c r="A30" s="2" t="s">
        <v>103</v>
      </c>
      <c r="B30" s="3">
        <v>46303</v>
      </c>
      <c r="C30" s="3" t="s">
        <v>849</v>
      </c>
      <c r="D30" s="2" t="s">
        <v>12</v>
      </c>
      <c r="E30" s="2" t="s">
        <v>104</v>
      </c>
      <c r="F30" s="2" t="s">
        <v>56</v>
      </c>
      <c r="G30" s="2" t="s">
        <v>46</v>
      </c>
      <c r="H30" s="2">
        <v>1</v>
      </c>
      <c r="I30" s="4">
        <v>7500</v>
      </c>
      <c r="J30" s="2" t="s">
        <v>22</v>
      </c>
      <c r="K30" s="2" t="s">
        <v>17</v>
      </c>
      <c r="L30" s="4">
        <f t="shared" si="0"/>
        <v>7500</v>
      </c>
      <c r="M30" t="str">
        <f t="shared" si="1"/>
        <v>Counted</v>
      </c>
    </row>
    <row r="31" spans="1:13" x14ac:dyDescent="0.25">
      <c r="A31" s="2" t="s">
        <v>105</v>
      </c>
      <c r="B31" s="3">
        <v>46303</v>
      </c>
      <c r="C31" s="3" t="s">
        <v>849</v>
      </c>
      <c r="D31" s="2" t="s">
        <v>19</v>
      </c>
      <c r="E31" s="2" t="s">
        <v>106</v>
      </c>
      <c r="F31" s="2" t="s">
        <v>32</v>
      </c>
      <c r="G31" s="2" t="s">
        <v>15</v>
      </c>
      <c r="H31" s="2">
        <v>1</v>
      </c>
      <c r="I31" s="4">
        <v>52000</v>
      </c>
      <c r="J31" s="2" t="s">
        <v>22</v>
      </c>
      <c r="K31" s="2" t="s">
        <v>107</v>
      </c>
      <c r="L31" s="4">
        <f t="shared" si="0"/>
        <v>52000</v>
      </c>
      <c r="M31" t="str">
        <f t="shared" si="1"/>
        <v>Not Counted</v>
      </c>
    </row>
    <row r="32" spans="1:13" x14ac:dyDescent="0.25">
      <c r="A32" s="2" t="s">
        <v>108</v>
      </c>
      <c r="B32" s="3">
        <v>46303</v>
      </c>
      <c r="C32" s="3" t="s">
        <v>849</v>
      </c>
      <c r="D32" s="2" t="s">
        <v>24</v>
      </c>
      <c r="E32" s="2" t="s">
        <v>109</v>
      </c>
      <c r="F32" s="2" t="s">
        <v>62</v>
      </c>
      <c r="G32" s="2" t="s">
        <v>41</v>
      </c>
      <c r="H32" s="2">
        <v>1</v>
      </c>
      <c r="I32" s="4">
        <v>2200</v>
      </c>
      <c r="J32" s="2" t="s">
        <v>92</v>
      </c>
      <c r="K32" s="2" t="s">
        <v>107</v>
      </c>
      <c r="L32" s="4">
        <f t="shared" si="0"/>
        <v>2200</v>
      </c>
      <c r="M32" t="str">
        <f t="shared" si="1"/>
        <v>Not Counted</v>
      </c>
    </row>
    <row r="33" spans="1:13" x14ac:dyDescent="0.25">
      <c r="A33" s="2" t="s">
        <v>110</v>
      </c>
      <c r="B33" s="3">
        <v>46304</v>
      </c>
      <c r="C33" s="3" t="s">
        <v>849</v>
      </c>
      <c r="D33" s="2" t="s">
        <v>30</v>
      </c>
      <c r="E33" s="2" t="s">
        <v>111</v>
      </c>
      <c r="F33" s="2" t="s">
        <v>59</v>
      </c>
      <c r="G33" s="2" t="s">
        <v>53</v>
      </c>
      <c r="H33" s="2">
        <v>1</v>
      </c>
      <c r="I33" s="4">
        <v>3800</v>
      </c>
      <c r="J33" s="2" t="s">
        <v>22</v>
      </c>
      <c r="K33" s="2" t="s">
        <v>17</v>
      </c>
      <c r="L33" s="4">
        <f t="shared" si="0"/>
        <v>3800</v>
      </c>
      <c r="M33" t="str">
        <f t="shared" si="1"/>
        <v>Counted</v>
      </c>
    </row>
    <row r="34" spans="1:13" x14ac:dyDescent="0.25">
      <c r="A34" s="2" t="s">
        <v>112</v>
      </c>
      <c r="B34" s="3">
        <v>46304</v>
      </c>
      <c r="C34" s="3" t="s">
        <v>849</v>
      </c>
      <c r="D34" s="2" t="s">
        <v>19</v>
      </c>
      <c r="E34" s="2" t="s">
        <v>113</v>
      </c>
      <c r="F34" s="2" t="s">
        <v>114</v>
      </c>
      <c r="G34" s="2" t="s">
        <v>36</v>
      </c>
      <c r="H34" s="2">
        <v>1</v>
      </c>
      <c r="I34" s="4">
        <v>9500</v>
      </c>
      <c r="J34" s="2" t="s">
        <v>37</v>
      </c>
      <c r="K34" s="2" t="s">
        <v>17</v>
      </c>
      <c r="L34" s="4">
        <f t="shared" si="0"/>
        <v>9500</v>
      </c>
      <c r="M34" t="str">
        <f t="shared" si="1"/>
        <v>Counted</v>
      </c>
    </row>
    <row r="35" spans="1:13" x14ac:dyDescent="0.25">
      <c r="A35" s="2" t="s">
        <v>115</v>
      </c>
      <c r="B35" s="3">
        <v>46304</v>
      </c>
      <c r="C35" s="3" t="s">
        <v>849</v>
      </c>
      <c r="D35" s="2" t="s">
        <v>30</v>
      </c>
      <c r="E35" s="2" t="s">
        <v>116</v>
      </c>
      <c r="F35" s="2" t="s">
        <v>117</v>
      </c>
      <c r="G35" s="2" t="s">
        <v>46</v>
      </c>
      <c r="H35" s="2">
        <v>1</v>
      </c>
      <c r="I35" s="4">
        <v>2800</v>
      </c>
      <c r="J35" s="2" t="s">
        <v>92</v>
      </c>
      <c r="K35" s="2" t="s">
        <v>17</v>
      </c>
      <c r="L35" s="4">
        <f t="shared" si="0"/>
        <v>2800</v>
      </c>
      <c r="M35" t="str">
        <f t="shared" si="1"/>
        <v>Counted</v>
      </c>
    </row>
    <row r="36" spans="1:13" x14ac:dyDescent="0.25">
      <c r="A36" s="2" t="s">
        <v>118</v>
      </c>
      <c r="B36" s="3">
        <v>46304</v>
      </c>
      <c r="C36" s="3" t="s">
        <v>849</v>
      </c>
      <c r="D36" s="2" t="s">
        <v>12</v>
      </c>
      <c r="E36" s="2" t="s">
        <v>119</v>
      </c>
      <c r="F36" s="2" t="s">
        <v>52</v>
      </c>
      <c r="G36" s="2" t="s">
        <v>53</v>
      </c>
      <c r="H36" s="2">
        <v>1</v>
      </c>
      <c r="I36" s="4">
        <v>8500</v>
      </c>
      <c r="J36" s="2" t="s">
        <v>27</v>
      </c>
      <c r="K36" s="2" t="s">
        <v>17</v>
      </c>
      <c r="L36" s="4">
        <f t="shared" si="0"/>
        <v>8500</v>
      </c>
      <c r="M36" t="str">
        <f t="shared" si="1"/>
        <v>Counted</v>
      </c>
    </row>
    <row r="37" spans="1:13" x14ac:dyDescent="0.25">
      <c r="A37" s="2" t="s">
        <v>120</v>
      </c>
      <c r="B37" s="3">
        <v>46304</v>
      </c>
      <c r="C37" s="3" t="s">
        <v>849</v>
      </c>
      <c r="D37" s="2" t="s">
        <v>12</v>
      </c>
      <c r="E37" s="2" t="s">
        <v>121</v>
      </c>
      <c r="F37" s="2" t="s">
        <v>68</v>
      </c>
      <c r="G37" s="2" t="s">
        <v>41</v>
      </c>
      <c r="H37" s="2">
        <v>1</v>
      </c>
      <c r="I37" s="4">
        <v>1500</v>
      </c>
      <c r="J37" s="2" t="s">
        <v>92</v>
      </c>
      <c r="K37" s="2" t="s">
        <v>17</v>
      </c>
      <c r="L37" s="4">
        <f t="shared" si="0"/>
        <v>1500</v>
      </c>
      <c r="M37" t="str">
        <f t="shared" si="1"/>
        <v>Counted</v>
      </c>
    </row>
    <row r="38" spans="1:13" x14ac:dyDescent="0.25">
      <c r="A38" s="2" t="s">
        <v>122</v>
      </c>
      <c r="B38" s="3">
        <v>46304</v>
      </c>
      <c r="C38" s="3" t="s">
        <v>849</v>
      </c>
      <c r="D38" s="2" t="s">
        <v>12</v>
      </c>
      <c r="E38" s="2" t="s">
        <v>123</v>
      </c>
      <c r="F38" s="2" t="s">
        <v>68</v>
      </c>
      <c r="G38" s="2" t="s">
        <v>41</v>
      </c>
      <c r="H38" s="2">
        <v>2</v>
      </c>
      <c r="I38" s="4">
        <v>1500</v>
      </c>
      <c r="J38" s="2" t="s">
        <v>37</v>
      </c>
      <c r="K38" s="2" t="s">
        <v>17</v>
      </c>
      <c r="L38" s="4">
        <f t="shared" si="0"/>
        <v>3000</v>
      </c>
      <c r="M38" t="str">
        <f t="shared" si="1"/>
        <v>Counted</v>
      </c>
    </row>
    <row r="39" spans="1:13" x14ac:dyDescent="0.25">
      <c r="A39" s="2" t="s">
        <v>124</v>
      </c>
      <c r="B39" s="3">
        <v>46305</v>
      </c>
      <c r="C39" s="3" t="s">
        <v>849</v>
      </c>
      <c r="D39" s="2" t="s">
        <v>19</v>
      </c>
      <c r="E39" s="2" t="s">
        <v>125</v>
      </c>
      <c r="F39" s="2" t="s">
        <v>62</v>
      </c>
      <c r="G39" s="2" t="s">
        <v>41</v>
      </c>
      <c r="H39" s="2">
        <v>2</v>
      </c>
      <c r="I39" s="4">
        <v>2200</v>
      </c>
      <c r="J39" s="2" t="s">
        <v>27</v>
      </c>
      <c r="K39" s="2" t="s">
        <v>107</v>
      </c>
      <c r="L39" s="4">
        <f t="shared" si="0"/>
        <v>4400</v>
      </c>
      <c r="M39" t="str">
        <f t="shared" si="1"/>
        <v>Not Counted</v>
      </c>
    </row>
    <row r="40" spans="1:13" x14ac:dyDescent="0.25">
      <c r="A40" s="2" t="s">
        <v>126</v>
      </c>
      <c r="B40" s="3">
        <v>46305</v>
      </c>
      <c r="C40" s="3" t="s">
        <v>849</v>
      </c>
      <c r="D40" s="2" t="s">
        <v>19</v>
      </c>
      <c r="E40" s="2" t="s">
        <v>127</v>
      </c>
      <c r="F40" s="2" t="s">
        <v>35</v>
      </c>
      <c r="G40" s="2" t="s">
        <v>36</v>
      </c>
      <c r="H40" s="2">
        <v>1</v>
      </c>
      <c r="I40" s="4">
        <v>12000</v>
      </c>
      <c r="J40" s="2" t="s">
        <v>16</v>
      </c>
      <c r="K40" s="2" t="s">
        <v>28</v>
      </c>
      <c r="L40" s="4">
        <f t="shared" si="0"/>
        <v>12000</v>
      </c>
      <c r="M40" t="str">
        <f t="shared" si="1"/>
        <v>Counted</v>
      </c>
    </row>
    <row r="41" spans="1:13" x14ac:dyDescent="0.25">
      <c r="A41" s="2" t="s">
        <v>128</v>
      </c>
      <c r="B41" s="3">
        <v>46305</v>
      </c>
      <c r="C41" s="3" t="s">
        <v>849</v>
      </c>
      <c r="D41" s="2" t="s">
        <v>30</v>
      </c>
      <c r="E41" s="2" t="s">
        <v>129</v>
      </c>
      <c r="F41" s="2" t="s">
        <v>35</v>
      </c>
      <c r="G41" s="2" t="s">
        <v>36</v>
      </c>
      <c r="H41" s="2">
        <v>1</v>
      </c>
      <c r="I41" s="4">
        <v>12000</v>
      </c>
      <c r="J41" s="2" t="s">
        <v>22</v>
      </c>
      <c r="K41" s="2" t="s">
        <v>17</v>
      </c>
      <c r="L41" s="4">
        <f t="shared" si="0"/>
        <v>12000</v>
      </c>
      <c r="M41" t="str">
        <f t="shared" si="1"/>
        <v>Counted</v>
      </c>
    </row>
    <row r="42" spans="1:13" x14ac:dyDescent="0.25">
      <c r="A42" s="2" t="s">
        <v>130</v>
      </c>
      <c r="B42" s="3">
        <v>46305</v>
      </c>
      <c r="C42" s="3" t="s">
        <v>849</v>
      </c>
      <c r="D42" s="2" t="s">
        <v>19</v>
      </c>
      <c r="E42" s="2" t="s">
        <v>97</v>
      </c>
      <c r="F42" s="2" t="s">
        <v>84</v>
      </c>
      <c r="G42" s="2" t="s">
        <v>53</v>
      </c>
      <c r="H42" s="2">
        <v>1</v>
      </c>
      <c r="I42" s="4">
        <v>22000</v>
      </c>
      <c r="J42" s="2" t="s">
        <v>22</v>
      </c>
      <c r="K42" s="2" t="s">
        <v>42</v>
      </c>
      <c r="L42" s="4">
        <f t="shared" si="0"/>
        <v>22000</v>
      </c>
      <c r="M42" t="str">
        <f t="shared" si="1"/>
        <v>Not Counted</v>
      </c>
    </row>
    <row r="43" spans="1:13" x14ac:dyDescent="0.25">
      <c r="A43" s="2" t="s">
        <v>131</v>
      </c>
      <c r="B43" s="3">
        <v>46305</v>
      </c>
      <c r="C43" s="3" t="s">
        <v>849</v>
      </c>
      <c r="D43" s="2" t="s">
        <v>24</v>
      </c>
      <c r="E43" s="2" t="s">
        <v>132</v>
      </c>
      <c r="F43" s="2" t="s">
        <v>133</v>
      </c>
      <c r="G43" s="2" t="s">
        <v>15</v>
      </c>
      <c r="H43" s="2">
        <v>1</v>
      </c>
      <c r="I43" s="4">
        <v>1800</v>
      </c>
      <c r="J43" s="2" t="s">
        <v>22</v>
      </c>
      <c r="K43" s="2" t="s">
        <v>42</v>
      </c>
      <c r="L43" s="4">
        <f t="shared" si="0"/>
        <v>1800</v>
      </c>
      <c r="M43" t="str">
        <f t="shared" si="1"/>
        <v>Not Counted</v>
      </c>
    </row>
    <row r="44" spans="1:13" x14ac:dyDescent="0.25">
      <c r="A44" s="2" t="s">
        <v>134</v>
      </c>
      <c r="B44" s="3">
        <v>46305</v>
      </c>
      <c r="C44" s="3" t="s">
        <v>849</v>
      </c>
      <c r="D44" s="2" t="s">
        <v>12</v>
      </c>
      <c r="E44" s="2" t="s">
        <v>135</v>
      </c>
      <c r="F44" s="2" t="s">
        <v>59</v>
      </c>
      <c r="G44" s="2" t="s">
        <v>53</v>
      </c>
      <c r="H44" s="2">
        <v>2</v>
      </c>
      <c r="I44" s="4">
        <v>3800</v>
      </c>
      <c r="J44" s="2" t="s">
        <v>37</v>
      </c>
      <c r="K44" s="2" t="s">
        <v>17</v>
      </c>
      <c r="L44" s="4">
        <f t="shared" si="0"/>
        <v>7600</v>
      </c>
      <c r="M44" t="str">
        <f t="shared" si="1"/>
        <v>Counted</v>
      </c>
    </row>
    <row r="45" spans="1:13" x14ac:dyDescent="0.25">
      <c r="A45" s="2" t="s">
        <v>136</v>
      </c>
      <c r="B45" s="3">
        <v>46305</v>
      </c>
      <c r="C45" s="3" t="s">
        <v>849</v>
      </c>
      <c r="D45" s="2" t="s">
        <v>30</v>
      </c>
      <c r="E45" s="2" t="s">
        <v>137</v>
      </c>
      <c r="F45" s="2" t="s">
        <v>102</v>
      </c>
      <c r="G45" s="2" t="s">
        <v>53</v>
      </c>
      <c r="H45" s="2">
        <v>1</v>
      </c>
      <c r="I45" s="4">
        <v>12500</v>
      </c>
      <c r="J45" s="2" t="s">
        <v>16</v>
      </c>
      <c r="K45" s="2" t="s">
        <v>28</v>
      </c>
      <c r="L45" s="4">
        <f t="shared" si="0"/>
        <v>12500</v>
      </c>
      <c r="M45" t="str">
        <f t="shared" si="1"/>
        <v>Counted</v>
      </c>
    </row>
    <row r="46" spans="1:13" x14ac:dyDescent="0.25">
      <c r="A46" s="2" t="s">
        <v>138</v>
      </c>
      <c r="B46" s="3">
        <v>46305</v>
      </c>
      <c r="C46" s="3" t="s">
        <v>849</v>
      </c>
      <c r="D46" s="2" t="s">
        <v>12</v>
      </c>
      <c r="E46" s="2" t="s">
        <v>139</v>
      </c>
      <c r="F46" s="2" t="s">
        <v>62</v>
      </c>
      <c r="G46" s="2" t="s">
        <v>41</v>
      </c>
      <c r="H46" s="2">
        <v>2</v>
      </c>
      <c r="I46" s="4">
        <v>2200</v>
      </c>
      <c r="J46" s="2" t="s">
        <v>22</v>
      </c>
      <c r="K46" s="2" t="s">
        <v>28</v>
      </c>
      <c r="L46" s="4">
        <f t="shared" si="0"/>
        <v>4400</v>
      </c>
      <c r="M46" t="str">
        <f t="shared" si="1"/>
        <v>Counted</v>
      </c>
    </row>
    <row r="47" spans="1:13" x14ac:dyDescent="0.25">
      <c r="A47" s="2" t="s">
        <v>140</v>
      </c>
      <c r="B47" s="3">
        <v>46306</v>
      </c>
      <c r="C47" s="3" t="s">
        <v>849</v>
      </c>
      <c r="D47" s="2" t="s">
        <v>24</v>
      </c>
      <c r="E47" s="2" t="s">
        <v>141</v>
      </c>
      <c r="F47" s="2" t="s">
        <v>114</v>
      </c>
      <c r="G47" s="2" t="s">
        <v>36</v>
      </c>
      <c r="H47" s="2">
        <v>1</v>
      </c>
      <c r="I47" s="4">
        <v>9500</v>
      </c>
      <c r="J47" s="2" t="s">
        <v>16</v>
      </c>
      <c r="K47" s="2" t="s">
        <v>17</v>
      </c>
      <c r="L47" s="4">
        <f t="shared" si="0"/>
        <v>9500</v>
      </c>
      <c r="M47" t="str">
        <f t="shared" si="1"/>
        <v>Counted</v>
      </c>
    </row>
    <row r="48" spans="1:13" x14ac:dyDescent="0.25">
      <c r="A48" s="2" t="s">
        <v>142</v>
      </c>
      <c r="B48" s="3">
        <v>46306</v>
      </c>
      <c r="C48" s="3" t="s">
        <v>849</v>
      </c>
      <c r="D48" s="2" t="s">
        <v>24</v>
      </c>
      <c r="E48" s="2" t="s">
        <v>143</v>
      </c>
      <c r="F48" s="2" t="s">
        <v>102</v>
      </c>
      <c r="G48" s="2" t="s">
        <v>53</v>
      </c>
      <c r="H48" s="2">
        <v>1</v>
      </c>
      <c r="I48" s="4">
        <v>12500</v>
      </c>
      <c r="J48" s="2" t="s">
        <v>16</v>
      </c>
      <c r="K48" s="2" t="s">
        <v>17</v>
      </c>
      <c r="L48" s="4">
        <f t="shared" si="0"/>
        <v>12500</v>
      </c>
      <c r="M48" t="str">
        <f t="shared" si="1"/>
        <v>Counted</v>
      </c>
    </row>
    <row r="49" spans="1:13" x14ac:dyDescent="0.25">
      <c r="A49" s="2" t="s">
        <v>144</v>
      </c>
      <c r="B49" s="3">
        <v>46306</v>
      </c>
      <c r="C49" s="3" t="s">
        <v>849</v>
      </c>
      <c r="D49" s="2" t="s">
        <v>30</v>
      </c>
      <c r="E49" s="2" t="s">
        <v>145</v>
      </c>
      <c r="F49" s="2" t="s">
        <v>73</v>
      </c>
      <c r="G49" s="2" t="s">
        <v>15</v>
      </c>
      <c r="H49" s="2">
        <v>1</v>
      </c>
      <c r="I49" s="4">
        <v>18000</v>
      </c>
      <c r="J49" s="2" t="s">
        <v>22</v>
      </c>
      <c r="K49" s="2" t="s">
        <v>17</v>
      </c>
      <c r="L49" s="4">
        <f t="shared" si="0"/>
        <v>18000</v>
      </c>
      <c r="M49" t="str">
        <f t="shared" si="1"/>
        <v>Counted</v>
      </c>
    </row>
    <row r="50" spans="1:13" x14ac:dyDescent="0.25">
      <c r="A50" s="2" t="s">
        <v>146</v>
      </c>
      <c r="B50" s="3">
        <v>46306</v>
      </c>
      <c r="C50" s="3" t="s">
        <v>849</v>
      </c>
      <c r="D50" s="2" t="s">
        <v>30</v>
      </c>
      <c r="E50" s="2" t="s">
        <v>147</v>
      </c>
      <c r="F50" s="2" t="s">
        <v>84</v>
      </c>
      <c r="G50" s="2" t="s">
        <v>53</v>
      </c>
      <c r="H50" s="2">
        <v>1</v>
      </c>
      <c r="I50" s="4">
        <v>22000</v>
      </c>
      <c r="J50" s="2" t="s">
        <v>27</v>
      </c>
      <c r="K50" s="2" t="s">
        <v>17</v>
      </c>
      <c r="L50" s="4">
        <f t="shared" si="0"/>
        <v>22000</v>
      </c>
      <c r="M50" t="str">
        <f t="shared" si="1"/>
        <v>Counted</v>
      </c>
    </row>
    <row r="51" spans="1:13" x14ac:dyDescent="0.25">
      <c r="A51" s="2" t="s">
        <v>148</v>
      </c>
      <c r="B51" s="3">
        <v>46306</v>
      </c>
      <c r="C51" s="3" t="s">
        <v>849</v>
      </c>
      <c r="D51" s="2" t="s">
        <v>24</v>
      </c>
      <c r="E51" s="2" t="s">
        <v>149</v>
      </c>
      <c r="F51" s="2" t="s">
        <v>117</v>
      </c>
      <c r="G51" s="2" t="s">
        <v>46</v>
      </c>
      <c r="H51" s="2">
        <v>3</v>
      </c>
      <c r="I51" s="4">
        <v>2800</v>
      </c>
      <c r="J51" s="2" t="s">
        <v>37</v>
      </c>
      <c r="K51" s="2" t="s">
        <v>17</v>
      </c>
      <c r="L51" s="4">
        <f t="shared" si="0"/>
        <v>8400</v>
      </c>
      <c r="M51" t="str">
        <f t="shared" si="1"/>
        <v>Counted</v>
      </c>
    </row>
    <row r="52" spans="1:13" x14ac:dyDescent="0.25">
      <c r="A52" s="2" t="s">
        <v>150</v>
      </c>
      <c r="B52" s="3">
        <v>46307</v>
      </c>
      <c r="C52" s="3" t="s">
        <v>849</v>
      </c>
      <c r="D52" s="2" t="s">
        <v>12</v>
      </c>
      <c r="E52" s="2" t="s">
        <v>151</v>
      </c>
      <c r="F52" s="2" t="s">
        <v>152</v>
      </c>
      <c r="G52" s="2" t="s">
        <v>36</v>
      </c>
      <c r="H52" s="2">
        <v>1</v>
      </c>
      <c r="I52" s="4">
        <v>6500</v>
      </c>
      <c r="J52" s="2" t="s">
        <v>16</v>
      </c>
      <c r="K52" s="2" t="s">
        <v>17</v>
      </c>
      <c r="L52" s="4">
        <f t="shared" si="0"/>
        <v>6500</v>
      </c>
      <c r="M52" t="str">
        <f t="shared" si="1"/>
        <v>Counted</v>
      </c>
    </row>
    <row r="53" spans="1:13" x14ac:dyDescent="0.25">
      <c r="A53" s="2" t="s">
        <v>153</v>
      </c>
      <c r="B53" s="3">
        <v>46307</v>
      </c>
      <c r="C53" s="3" t="s">
        <v>849</v>
      </c>
      <c r="D53" s="2" t="s">
        <v>30</v>
      </c>
      <c r="E53" s="2" t="s">
        <v>154</v>
      </c>
      <c r="F53" s="2" t="s">
        <v>21</v>
      </c>
      <c r="G53" s="2" t="s">
        <v>15</v>
      </c>
      <c r="H53" s="2">
        <v>1</v>
      </c>
      <c r="I53" s="4">
        <v>62000</v>
      </c>
      <c r="J53" s="2" t="s">
        <v>37</v>
      </c>
      <c r="K53" s="2" t="s">
        <v>17</v>
      </c>
      <c r="L53" s="4">
        <f t="shared" si="0"/>
        <v>62000</v>
      </c>
      <c r="M53" t="str">
        <f t="shared" si="1"/>
        <v>Counted</v>
      </c>
    </row>
    <row r="54" spans="1:13" x14ac:dyDescent="0.25">
      <c r="A54" s="2" t="s">
        <v>155</v>
      </c>
      <c r="B54" s="3">
        <v>46307</v>
      </c>
      <c r="C54" s="3" t="s">
        <v>849</v>
      </c>
      <c r="D54" s="2" t="s">
        <v>19</v>
      </c>
      <c r="E54" s="2" t="s">
        <v>81</v>
      </c>
      <c r="F54" s="2" t="s">
        <v>14</v>
      </c>
      <c r="G54" s="2" t="s">
        <v>15</v>
      </c>
      <c r="H54" s="2">
        <v>1</v>
      </c>
      <c r="I54" s="4">
        <v>65000</v>
      </c>
      <c r="J54" s="2" t="s">
        <v>16</v>
      </c>
      <c r="K54" s="2" t="s">
        <v>17</v>
      </c>
      <c r="L54" s="4">
        <f t="shared" si="0"/>
        <v>65000</v>
      </c>
      <c r="M54" t="str">
        <f t="shared" si="1"/>
        <v>Counted</v>
      </c>
    </row>
    <row r="55" spans="1:13" x14ac:dyDescent="0.25">
      <c r="A55" s="2" t="s">
        <v>156</v>
      </c>
      <c r="B55" s="3">
        <v>46307</v>
      </c>
      <c r="C55" s="3" t="s">
        <v>849</v>
      </c>
      <c r="D55" s="2" t="s">
        <v>19</v>
      </c>
      <c r="E55" s="2" t="s">
        <v>157</v>
      </c>
      <c r="F55" s="2" t="s">
        <v>21</v>
      </c>
      <c r="G55" s="2" t="s">
        <v>15</v>
      </c>
      <c r="H55" s="2">
        <v>1</v>
      </c>
      <c r="I55" s="4">
        <v>62000</v>
      </c>
      <c r="J55" s="2" t="s">
        <v>37</v>
      </c>
      <c r="K55" s="2" t="s">
        <v>17</v>
      </c>
      <c r="L55" s="4">
        <f t="shared" si="0"/>
        <v>62000</v>
      </c>
      <c r="M55" t="str">
        <f t="shared" si="1"/>
        <v>Counted</v>
      </c>
    </row>
    <row r="56" spans="1:13" x14ac:dyDescent="0.25">
      <c r="A56" s="2" t="s">
        <v>158</v>
      </c>
      <c r="B56" s="3">
        <v>46307</v>
      </c>
      <c r="C56" s="3" t="s">
        <v>849</v>
      </c>
      <c r="D56" s="2" t="s">
        <v>12</v>
      </c>
      <c r="E56" s="2" t="s">
        <v>159</v>
      </c>
      <c r="F56" s="2" t="s">
        <v>95</v>
      </c>
      <c r="G56" s="2" t="s">
        <v>15</v>
      </c>
      <c r="H56" s="2">
        <v>1</v>
      </c>
      <c r="I56" s="4">
        <v>58000</v>
      </c>
      <c r="J56" s="2" t="s">
        <v>22</v>
      </c>
      <c r="K56" s="2" t="s">
        <v>17</v>
      </c>
      <c r="L56" s="4">
        <f t="shared" si="0"/>
        <v>58000</v>
      </c>
      <c r="M56" t="str">
        <f t="shared" si="1"/>
        <v>Counted</v>
      </c>
    </row>
    <row r="57" spans="1:13" x14ac:dyDescent="0.25">
      <c r="A57" s="2" t="s">
        <v>160</v>
      </c>
      <c r="B57" s="3">
        <v>46307</v>
      </c>
      <c r="C57" s="3" t="s">
        <v>849</v>
      </c>
      <c r="D57" s="2" t="s">
        <v>30</v>
      </c>
      <c r="E57" s="2" t="s">
        <v>161</v>
      </c>
      <c r="F57" s="2" t="s">
        <v>114</v>
      </c>
      <c r="G57" s="2" t="s">
        <v>36</v>
      </c>
      <c r="H57" s="2">
        <v>1</v>
      </c>
      <c r="I57" s="4">
        <v>9500</v>
      </c>
      <c r="J57" s="2" t="s">
        <v>16</v>
      </c>
      <c r="K57" s="2" t="s">
        <v>17</v>
      </c>
      <c r="L57" s="4">
        <f t="shared" si="0"/>
        <v>9500</v>
      </c>
      <c r="M57" t="str">
        <f t="shared" si="1"/>
        <v>Counted</v>
      </c>
    </row>
    <row r="58" spans="1:13" x14ac:dyDescent="0.25">
      <c r="A58" s="2" t="s">
        <v>162</v>
      </c>
      <c r="B58" s="3">
        <v>46307</v>
      </c>
      <c r="C58" s="3" t="s">
        <v>849</v>
      </c>
      <c r="D58" s="2" t="s">
        <v>30</v>
      </c>
      <c r="E58" s="2" t="s">
        <v>163</v>
      </c>
      <c r="F58" s="2" t="s">
        <v>87</v>
      </c>
      <c r="G58" s="2" t="s">
        <v>46</v>
      </c>
      <c r="H58" s="2">
        <v>2</v>
      </c>
      <c r="I58" s="4">
        <v>1600</v>
      </c>
      <c r="J58" s="2" t="s">
        <v>16</v>
      </c>
      <c r="K58" s="2" t="s">
        <v>17</v>
      </c>
      <c r="L58" s="4">
        <f t="shared" si="0"/>
        <v>3200</v>
      </c>
      <c r="M58" t="str">
        <f t="shared" si="1"/>
        <v>Counted</v>
      </c>
    </row>
    <row r="59" spans="1:13" x14ac:dyDescent="0.25">
      <c r="A59" s="2" t="s">
        <v>164</v>
      </c>
      <c r="B59" s="3">
        <v>46307</v>
      </c>
      <c r="C59" s="3" t="s">
        <v>849</v>
      </c>
      <c r="D59" s="2" t="s">
        <v>19</v>
      </c>
      <c r="E59" s="2" t="s">
        <v>165</v>
      </c>
      <c r="F59" s="2" t="s">
        <v>62</v>
      </c>
      <c r="G59" s="2" t="s">
        <v>41</v>
      </c>
      <c r="H59" s="2">
        <v>1</v>
      </c>
      <c r="I59" s="4">
        <v>2200</v>
      </c>
      <c r="J59" s="2" t="s">
        <v>16</v>
      </c>
      <c r="K59" s="2" t="s">
        <v>17</v>
      </c>
      <c r="L59" s="4">
        <f t="shared" si="0"/>
        <v>2200</v>
      </c>
      <c r="M59" t="str">
        <f t="shared" si="1"/>
        <v>Counted</v>
      </c>
    </row>
    <row r="60" spans="1:13" x14ac:dyDescent="0.25">
      <c r="A60" s="2" t="s">
        <v>166</v>
      </c>
      <c r="B60" s="3">
        <v>46307</v>
      </c>
      <c r="C60" s="3" t="s">
        <v>849</v>
      </c>
      <c r="D60" s="2" t="s">
        <v>30</v>
      </c>
      <c r="E60" s="2" t="s">
        <v>167</v>
      </c>
      <c r="F60" s="2" t="s">
        <v>102</v>
      </c>
      <c r="G60" s="2" t="s">
        <v>53</v>
      </c>
      <c r="H60" s="2">
        <v>1</v>
      </c>
      <c r="I60" s="4">
        <v>12500</v>
      </c>
      <c r="J60" s="2" t="s">
        <v>22</v>
      </c>
      <c r="K60" s="2" t="s">
        <v>17</v>
      </c>
      <c r="L60" s="4">
        <f t="shared" si="0"/>
        <v>12500</v>
      </c>
      <c r="M60" t="str">
        <f t="shared" si="1"/>
        <v>Counted</v>
      </c>
    </row>
    <row r="61" spans="1:13" x14ac:dyDescent="0.25">
      <c r="A61" s="2" t="s">
        <v>168</v>
      </c>
      <c r="B61" s="3">
        <v>46308</v>
      </c>
      <c r="C61" s="3" t="s">
        <v>849</v>
      </c>
      <c r="D61" s="2" t="s">
        <v>12</v>
      </c>
      <c r="E61" s="2" t="s">
        <v>67</v>
      </c>
      <c r="F61" s="2" t="s">
        <v>133</v>
      </c>
      <c r="G61" s="2" t="s">
        <v>15</v>
      </c>
      <c r="H61" s="2">
        <v>1</v>
      </c>
      <c r="I61" s="4">
        <v>1800</v>
      </c>
      <c r="J61" s="2" t="s">
        <v>22</v>
      </c>
      <c r="K61" s="2" t="s">
        <v>17</v>
      </c>
      <c r="L61" s="4">
        <f t="shared" si="0"/>
        <v>1800</v>
      </c>
      <c r="M61" t="str">
        <f t="shared" si="1"/>
        <v>Counted</v>
      </c>
    </row>
    <row r="62" spans="1:13" x14ac:dyDescent="0.25">
      <c r="A62" s="2" t="s">
        <v>169</v>
      </c>
      <c r="B62" s="3">
        <v>46308</v>
      </c>
      <c r="C62" s="3" t="s">
        <v>849</v>
      </c>
      <c r="D62" s="2" t="s">
        <v>12</v>
      </c>
      <c r="E62" s="2" t="s">
        <v>170</v>
      </c>
      <c r="F62" s="2" t="s">
        <v>87</v>
      </c>
      <c r="G62" s="2" t="s">
        <v>46</v>
      </c>
      <c r="H62" s="2">
        <v>1</v>
      </c>
      <c r="I62" s="4">
        <v>1600</v>
      </c>
      <c r="J62" s="2" t="s">
        <v>22</v>
      </c>
      <c r="K62" s="2" t="s">
        <v>17</v>
      </c>
      <c r="L62" s="4">
        <f t="shared" si="0"/>
        <v>1600</v>
      </c>
      <c r="M62" t="str">
        <f t="shared" si="1"/>
        <v>Counted</v>
      </c>
    </row>
    <row r="63" spans="1:13" x14ac:dyDescent="0.25">
      <c r="A63" s="2" t="s">
        <v>171</v>
      </c>
      <c r="B63" s="3">
        <v>46308</v>
      </c>
      <c r="C63" s="3" t="s">
        <v>849</v>
      </c>
      <c r="D63" s="2" t="s">
        <v>30</v>
      </c>
      <c r="E63" s="2" t="s">
        <v>172</v>
      </c>
      <c r="F63" s="2" t="s">
        <v>62</v>
      </c>
      <c r="G63" s="2" t="s">
        <v>41</v>
      </c>
      <c r="H63" s="2">
        <v>1</v>
      </c>
      <c r="I63" s="4">
        <v>2200</v>
      </c>
      <c r="J63" s="2" t="s">
        <v>27</v>
      </c>
      <c r="K63" s="2" t="s">
        <v>17</v>
      </c>
      <c r="L63" s="4">
        <f t="shared" si="0"/>
        <v>2200</v>
      </c>
      <c r="M63" t="str">
        <f t="shared" si="1"/>
        <v>Counted</v>
      </c>
    </row>
    <row r="64" spans="1:13" x14ac:dyDescent="0.25">
      <c r="A64" s="2" t="s">
        <v>173</v>
      </c>
      <c r="B64" s="3">
        <v>46308</v>
      </c>
      <c r="C64" s="3" t="s">
        <v>849</v>
      </c>
      <c r="D64" s="2" t="s">
        <v>30</v>
      </c>
      <c r="E64" s="2" t="s">
        <v>174</v>
      </c>
      <c r="F64" s="2" t="s">
        <v>52</v>
      </c>
      <c r="G64" s="2" t="s">
        <v>53</v>
      </c>
      <c r="H64" s="2">
        <v>2</v>
      </c>
      <c r="I64" s="4">
        <v>8500</v>
      </c>
      <c r="J64" s="2" t="s">
        <v>22</v>
      </c>
      <c r="K64" s="2" t="s">
        <v>17</v>
      </c>
      <c r="L64" s="4">
        <f t="shared" si="0"/>
        <v>17000</v>
      </c>
      <c r="M64" t="str">
        <f t="shared" si="1"/>
        <v>Counted</v>
      </c>
    </row>
    <row r="65" spans="1:13" x14ac:dyDescent="0.25">
      <c r="A65" s="2" t="s">
        <v>175</v>
      </c>
      <c r="B65" s="3">
        <v>46308</v>
      </c>
      <c r="C65" s="3" t="s">
        <v>849</v>
      </c>
      <c r="D65" s="2" t="s">
        <v>30</v>
      </c>
      <c r="E65" s="2" t="s">
        <v>176</v>
      </c>
      <c r="F65" s="2" t="s">
        <v>32</v>
      </c>
      <c r="G65" s="2" t="s">
        <v>15</v>
      </c>
      <c r="H65" s="2">
        <v>2</v>
      </c>
      <c r="I65" s="4">
        <v>52000</v>
      </c>
      <c r="J65" s="2" t="s">
        <v>22</v>
      </c>
      <c r="K65" s="2" t="s">
        <v>28</v>
      </c>
      <c r="L65" s="4">
        <f t="shared" si="0"/>
        <v>104000</v>
      </c>
      <c r="M65" t="str">
        <f t="shared" si="1"/>
        <v>Counted</v>
      </c>
    </row>
    <row r="66" spans="1:13" x14ac:dyDescent="0.25">
      <c r="A66" s="2" t="s">
        <v>177</v>
      </c>
      <c r="B66" s="3">
        <v>46308</v>
      </c>
      <c r="C66" s="3" t="s">
        <v>849</v>
      </c>
      <c r="D66" s="2" t="s">
        <v>24</v>
      </c>
      <c r="E66" s="2" t="s">
        <v>178</v>
      </c>
      <c r="F66" s="2" t="s">
        <v>87</v>
      </c>
      <c r="G66" s="2" t="s">
        <v>46</v>
      </c>
      <c r="H66" s="2">
        <v>2</v>
      </c>
      <c r="I66" s="4">
        <v>1600</v>
      </c>
      <c r="J66" s="2" t="s">
        <v>22</v>
      </c>
      <c r="K66" s="2" t="s">
        <v>28</v>
      </c>
      <c r="L66" s="4">
        <f t="shared" ref="L66:L129" si="2">H66*I66</f>
        <v>3200</v>
      </c>
      <c r="M66" t="str">
        <f t="shared" si="1"/>
        <v>Counted</v>
      </c>
    </row>
    <row r="67" spans="1:13" x14ac:dyDescent="0.25">
      <c r="A67" s="2" t="s">
        <v>179</v>
      </c>
      <c r="B67" s="3">
        <v>46308</v>
      </c>
      <c r="C67" s="3" t="s">
        <v>849</v>
      </c>
      <c r="D67" s="2" t="s">
        <v>24</v>
      </c>
      <c r="E67" s="2" t="s">
        <v>180</v>
      </c>
      <c r="F67" s="2" t="s">
        <v>59</v>
      </c>
      <c r="G67" s="2" t="s">
        <v>53</v>
      </c>
      <c r="H67" s="2">
        <v>1</v>
      </c>
      <c r="I67" s="4">
        <v>3800</v>
      </c>
      <c r="J67" s="2" t="s">
        <v>16</v>
      </c>
      <c r="K67" s="2" t="s">
        <v>17</v>
      </c>
      <c r="L67" s="4">
        <f t="shared" si="2"/>
        <v>3800</v>
      </c>
      <c r="M67" t="str">
        <f t="shared" ref="M67:M130" si="3">IF(OR(K67="Cancelled",K67="Returned"),"Not Counted","Counted")</f>
        <v>Counted</v>
      </c>
    </row>
    <row r="68" spans="1:13" x14ac:dyDescent="0.25">
      <c r="A68" s="2" t="s">
        <v>181</v>
      </c>
      <c r="B68" s="3">
        <v>46308</v>
      </c>
      <c r="C68" s="3" t="s">
        <v>849</v>
      </c>
      <c r="D68" s="2" t="s">
        <v>19</v>
      </c>
      <c r="E68" s="2" t="s">
        <v>182</v>
      </c>
      <c r="F68" s="2" t="s">
        <v>87</v>
      </c>
      <c r="G68" s="2" t="s">
        <v>46</v>
      </c>
      <c r="H68" s="2">
        <v>1</v>
      </c>
      <c r="I68" s="4">
        <v>1600</v>
      </c>
      <c r="J68" s="2" t="s">
        <v>22</v>
      </c>
      <c r="K68" s="2" t="s">
        <v>17</v>
      </c>
      <c r="L68" s="4">
        <f t="shared" si="2"/>
        <v>1600</v>
      </c>
      <c r="M68" t="str">
        <f t="shared" si="3"/>
        <v>Counted</v>
      </c>
    </row>
    <row r="69" spans="1:13" x14ac:dyDescent="0.25">
      <c r="A69" s="2" t="s">
        <v>183</v>
      </c>
      <c r="B69" s="3">
        <v>46308</v>
      </c>
      <c r="C69" s="3" t="s">
        <v>849</v>
      </c>
      <c r="D69" s="2" t="s">
        <v>12</v>
      </c>
      <c r="E69" s="2" t="s">
        <v>184</v>
      </c>
      <c r="F69" s="2" t="s">
        <v>95</v>
      </c>
      <c r="G69" s="2" t="s">
        <v>15</v>
      </c>
      <c r="H69" s="2">
        <v>1</v>
      </c>
      <c r="I69" s="4">
        <v>58000</v>
      </c>
      <c r="J69" s="2" t="s">
        <v>92</v>
      </c>
      <c r="K69" s="2" t="s">
        <v>17</v>
      </c>
      <c r="L69" s="4">
        <f t="shared" si="2"/>
        <v>58000</v>
      </c>
      <c r="M69" t="str">
        <f t="shared" si="3"/>
        <v>Counted</v>
      </c>
    </row>
    <row r="70" spans="1:13" x14ac:dyDescent="0.25">
      <c r="A70" s="2" t="s">
        <v>185</v>
      </c>
      <c r="B70" s="3">
        <v>46308</v>
      </c>
      <c r="C70" s="3" t="s">
        <v>849</v>
      </c>
      <c r="D70" s="2" t="s">
        <v>30</v>
      </c>
      <c r="E70" s="2" t="s">
        <v>186</v>
      </c>
      <c r="F70" s="2" t="s">
        <v>21</v>
      </c>
      <c r="G70" s="2" t="s">
        <v>15</v>
      </c>
      <c r="H70" s="2">
        <v>1</v>
      </c>
      <c r="I70" s="4">
        <v>62000</v>
      </c>
      <c r="J70" s="2" t="s">
        <v>16</v>
      </c>
      <c r="K70" s="2" t="s">
        <v>17</v>
      </c>
      <c r="L70" s="4">
        <f t="shared" si="2"/>
        <v>62000</v>
      </c>
      <c r="M70" t="str">
        <f t="shared" si="3"/>
        <v>Counted</v>
      </c>
    </row>
    <row r="71" spans="1:13" x14ac:dyDescent="0.25">
      <c r="A71" s="2" t="s">
        <v>187</v>
      </c>
      <c r="B71" s="3">
        <v>46308</v>
      </c>
      <c r="C71" s="3" t="s">
        <v>849</v>
      </c>
      <c r="D71" s="2" t="s">
        <v>19</v>
      </c>
      <c r="E71" s="2" t="s">
        <v>188</v>
      </c>
      <c r="F71" s="2" t="s">
        <v>35</v>
      </c>
      <c r="G71" s="2" t="s">
        <v>36</v>
      </c>
      <c r="H71" s="2">
        <v>1</v>
      </c>
      <c r="I71" s="4">
        <v>12000</v>
      </c>
      <c r="J71" s="2" t="s">
        <v>27</v>
      </c>
      <c r="K71" s="2" t="s">
        <v>107</v>
      </c>
      <c r="L71" s="4">
        <f t="shared" si="2"/>
        <v>12000</v>
      </c>
      <c r="M71" t="str">
        <f t="shared" si="3"/>
        <v>Not Counted</v>
      </c>
    </row>
    <row r="72" spans="1:13" x14ac:dyDescent="0.25">
      <c r="A72" s="2" t="s">
        <v>189</v>
      </c>
      <c r="B72" s="3">
        <v>46309</v>
      </c>
      <c r="C72" s="3" t="s">
        <v>849</v>
      </c>
      <c r="D72" s="2" t="s">
        <v>24</v>
      </c>
      <c r="E72" s="2" t="s">
        <v>190</v>
      </c>
      <c r="F72" s="2" t="s">
        <v>191</v>
      </c>
      <c r="G72" s="2" t="s">
        <v>41</v>
      </c>
      <c r="H72" s="2">
        <v>1</v>
      </c>
      <c r="I72" s="4">
        <v>1800</v>
      </c>
      <c r="J72" s="2" t="s">
        <v>92</v>
      </c>
      <c r="K72" s="2" t="s">
        <v>42</v>
      </c>
      <c r="L72" s="4">
        <f t="shared" si="2"/>
        <v>1800</v>
      </c>
      <c r="M72" t="str">
        <f t="shared" si="3"/>
        <v>Not Counted</v>
      </c>
    </row>
    <row r="73" spans="1:13" x14ac:dyDescent="0.25">
      <c r="A73" s="2" t="s">
        <v>192</v>
      </c>
      <c r="B73" s="3">
        <v>46309</v>
      </c>
      <c r="C73" s="3" t="s">
        <v>849</v>
      </c>
      <c r="D73" s="2" t="s">
        <v>19</v>
      </c>
      <c r="E73" s="2" t="s">
        <v>193</v>
      </c>
      <c r="F73" s="2" t="s">
        <v>65</v>
      </c>
      <c r="G73" s="2" t="s">
        <v>36</v>
      </c>
      <c r="H73" s="2">
        <v>1</v>
      </c>
      <c r="I73" s="4">
        <v>28000</v>
      </c>
      <c r="J73" s="2" t="s">
        <v>92</v>
      </c>
      <c r="K73" s="2" t="s">
        <v>17</v>
      </c>
      <c r="L73" s="4">
        <f t="shared" si="2"/>
        <v>28000</v>
      </c>
      <c r="M73" t="str">
        <f t="shared" si="3"/>
        <v>Counted</v>
      </c>
    </row>
    <row r="74" spans="1:13" x14ac:dyDescent="0.25">
      <c r="A74" s="2" t="s">
        <v>194</v>
      </c>
      <c r="B74" s="3">
        <v>46309</v>
      </c>
      <c r="C74" s="3" t="s">
        <v>849</v>
      </c>
      <c r="D74" s="2" t="s">
        <v>19</v>
      </c>
      <c r="E74" s="2" t="s">
        <v>129</v>
      </c>
      <c r="F74" s="2" t="s">
        <v>84</v>
      </c>
      <c r="G74" s="2" t="s">
        <v>53</v>
      </c>
      <c r="H74" s="2">
        <v>1</v>
      </c>
      <c r="I74" s="4">
        <v>22000</v>
      </c>
      <c r="J74" s="2" t="s">
        <v>22</v>
      </c>
      <c r="K74" s="2" t="s">
        <v>17</v>
      </c>
      <c r="L74" s="4">
        <f t="shared" si="2"/>
        <v>22000</v>
      </c>
      <c r="M74" t="str">
        <f t="shared" si="3"/>
        <v>Counted</v>
      </c>
    </row>
    <row r="75" spans="1:13" x14ac:dyDescent="0.25">
      <c r="A75" s="2" t="s">
        <v>195</v>
      </c>
      <c r="B75" s="3">
        <v>46309</v>
      </c>
      <c r="C75" s="3" t="s">
        <v>849</v>
      </c>
      <c r="D75" s="2" t="s">
        <v>12</v>
      </c>
      <c r="E75" s="2" t="s">
        <v>196</v>
      </c>
      <c r="F75" s="2" t="s">
        <v>84</v>
      </c>
      <c r="G75" s="2" t="s">
        <v>53</v>
      </c>
      <c r="H75" s="2">
        <v>1</v>
      </c>
      <c r="I75" s="4">
        <v>22000</v>
      </c>
      <c r="J75" s="2" t="s">
        <v>37</v>
      </c>
      <c r="K75" s="2" t="s">
        <v>17</v>
      </c>
      <c r="L75" s="4">
        <f t="shared" si="2"/>
        <v>22000</v>
      </c>
      <c r="M75" t="str">
        <f t="shared" si="3"/>
        <v>Counted</v>
      </c>
    </row>
    <row r="76" spans="1:13" x14ac:dyDescent="0.25">
      <c r="A76" s="2" t="s">
        <v>197</v>
      </c>
      <c r="B76" s="3">
        <v>46309</v>
      </c>
      <c r="C76" s="3" t="s">
        <v>849</v>
      </c>
      <c r="D76" s="2" t="s">
        <v>24</v>
      </c>
      <c r="E76" s="2" t="s">
        <v>198</v>
      </c>
      <c r="F76" s="2" t="s">
        <v>21</v>
      </c>
      <c r="G76" s="2" t="s">
        <v>15</v>
      </c>
      <c r="H76" s="2">
        <v>1</v>
      </c>
      <c r="I76" s="4">
        <v>62000</v>
      </c>
      <c r="J76" s="2" t="s">
        <v>27</v>
      </c>
      <c r="K76" s="2" t="s">
        <v>17</v>
      </c>
      <c r="L76" s="4">
        <f t="shared" si="2"/>
        <v>62000</v>
      </c>
      <c r="M76" t="str">
        <f t="shared" si="3"/>
        <v>Counted</v>
      </c>
    </row>
    <row r="77" spans="1:13" x14ac:dyDescent="0.25">
      <c r="A77" s="2" t="s">
        <v>199</v>
      </c>
      <c r="B77" s="3">
        <v>46309</v>
      </c>
      <c r="C77" s="3" t="s">
        <v>849</v>
      </c>
      <c r="D77" s="2" t="s">
        <v>24</v>
      </c>
      <c r="E77" s="2" t="s">
        <v>200</v>
      </c>
      <c r="F77" s="2" t="s">
        <v>84</v>
      </c>
      <c r="G77" s="2" t="s">
        <v>53</v>
      </c>
      <c r="H77" s="2">
        <v>1</v>
      </c>
      <c r="I77" s="4">
        <v>22000</v>
      </c>
      <c r="J77" s="2" t="s">
        <v>22</v>
      </c>
      <c r="K77" s="2" t="s">
        <v>17</v>
      </c>
      <c r="L77" s="4">
        <f t="shared" si="2"/>
        <v>22000</v>
      </c>
      <c r="M77" t="str">
        <f t="shared" si="3"/>
        <v>Counted</v>
      </c>
    </row>
    <row r="78" spans="1:13" x14ac:dyDescent="0.25">
      <c r="A78" s="2" t="s">
        <v>201</v>
      </c>
      <c r="B78" s="3">
        <v>46309</v>
      </c>
      <c r="C78" s="3" t="s">
        <v>849</v>
      </c>
      <c r="D78" s="2" t="s">
        <v>12</v>
      </c>
      <c r="E78" s="2" t="s">
        <v>202</v>
      </c>
      <c r="F78" s="2" t="s">
        <v>59</v>
      </c>
      <c r="G78" s="2" t="s">
        <v>53</v>
      </c>
      <c r="H78" s="2">
        <v>1</v>
      </c>
      <c r="I78" s="4">
        <v>3800</v>
      </c>
      <c r="J78" s="2" t="s">
        <v>92</v>
      </c>
      <c r="K78" s="2" t="s">
        <v>17</v>
      </c>
      <c r="L78" s="4">
        <f t="shared" si="2"/>
        <v>3800</v>
      </c>
      <c r="M78" t="str">
        <f t="shared" si="3"/>
        <v>Counted</v>
      </c>
    </row>
    <row r="79" spans="1:13" x14ac:dyDescent="0.25">
      <c r="A79" s="2" t="s">
        <v>203</v>
      </c>
      <c r="B79" s="3">
        <v>46309</v>
      </c>
      <c r="C79" s="3" t="s">
        <v>849</v>
      </c>
      <c r="D79" s="2" t="s">
        <v>12</v>
      </c>
      <c r="E79" s="2" t="s">
        <v>204</v>
      </c>
      <c r="F79" s="2" t="s">
        <v>133</v>
      </c>
      <c r="G79" s="2" t="s">
        <v>15</v>
      </c>
      <c r="H79" s="2">
        <v>1</v>
      </c>
      <c r="I79" s="4">
        <v>1800</v>
      </c>
      <c r="J79" s="2" t="s">
        <v>16</v>
      </c>
      <c r="K79" s="2" t="s">
        <v>17</v>
      </c>
      <c r="L79" s="4">
        <f t="shared" si="2"/>
        <v>1800</v>
      </c>
      <c r="M79" t="str">
        <f t="shared" si="3"/>
        <v>Counted</v>
      </c>
    </row>
    <row r="80" spans="1:13" x14ac:dyDescent="0.25">
      <c r="A80" s="2" t="s">
        <v>205</v>
      </c>
      <c r="B80" s="3">
        <v>46310</v>
      </c>
      <c r="C80" s="3" t="s">
        <v>849</v>
      </c>
      <c r="D80" s="2" t="s">
        <v>12</v>
      </c>
      <c r="E80" s="2" t="s">
        <v>206</v>
      </c>
      <c r="F80" s="2" t="s">
        <v>26</v>
      </c>
      <c r="G80" s="2" t="s">
        <v>15</v>
      </c>
      <c r="H80" s="2">
        <v>1</v>
      </c>
      <c r="I80" s="4">
        <v>24000</v>
      </c>
      <c r="J80" s="2" t="s">
        <v>37</v>
      </c>
      <c r="K80" s="2" t="s">
        <v>17</v>
      </c>
      <c r="L80" s="4">
        <f t="shared" si="2"/>
        <v>24000</v>
      </c>
      <c r="M80" t="str">
        <f t="shared" si="3"/>
        <v>Counted</v>
      </c>
    </row>
    <row r="81" spans="1:13" x14ac:dyDescent="0.25">
      <c r="A81" s="2" t="s">
        <v>207</v>
      </c>
      <c r="B81" s="3">
        <v>46310</v>
      </c>
      <c r="C81" s="3" t="s">
        <v>849</v>
      </c>
      <c r="D81" s="2" t="s">
        <v>24</v>
      </c>
      <c r="E81" s="2" t="s">
        <v>77</v>
      </c>
      <c r="F81" s="2" t="s">
        <v>59</v>
      </c>
      <c r="G81" s="2" t="s">
        <v>53</v>
      </c>
      <c r="H81" s="2">
        <v>1</v>
      </c>
      <c r="I81" s="4">
        <v>3800</v>
      </c>
      <c r="J81" s="2" t="s">
        <v>37</v>
      </c>
      <c r="K81" s="2" t="s">
        <v>107</v>
      </c>
      <c r="L81" s="4">
        <f t="shared" si="2"/>
        <v>3800</v>
      </c>
      <c r="M81" t="str">
        <f t="shared" si="3"/>
        <v>Not Counted</v>
      </c>
    </row>
    <row r="82" spans="1:13" x14ac:dyDescent="0.25">
      <c r="A82" s="2" t="s">
        <v>208</v>
      </c>
      <c r="B82" s="3">
        <v>46310</v>
      </c>
      <c r="C82" s="3" t="s">
        <v>849</v>
      </c>
      <c r="D82" s="2" t="s">
        <v>30</v>
      </c>
      <c r="E82" s="2" t="s">
        <v>209</v>
      </c>
      <c r="F82" s="2" t="s">
        <v>73</v>
      </c>
      <c r="G82" s="2" t="s">
        <v>15</v>
      </c>
      <c r="H82" s="2">
        <v>1</v>
      </c>
      <c r="I82" s="4">
        <v>18000</v>
      </c>
      <c r="J82" s="2" t="s">
        <v>22</v>
      </c>
      <c r="K82" s="2" t="s">
        <v>17</v>
      </c>
      <c r="L82" s="4">
        <f t="shared" si="2"/>
        <v>18000</v>
      </c>
      <c r="M82" t="str">
        <f t="shared" si="3"/>
        <v>Counted</v>
      </c>
    </row>
    <row r="83" spans="1:13" x14ac:dyDescent="0.25">
      <c r="A83" s="2" t="s">
        <v>210</v>
      </c>
      <c r="B83" s="3">
        <v>46310</v>
      </c>
      <c r="C83" s="3" t="s">
        <v>849</v>
      </c>
      <c r="D83" s="2" t="s">
        <v>12</v>
      </c>
      <c r="E83" s="2" t="s">
        <v>211</v>
      </c>
      <c r="F83" s="2" t="s">
        <v>102</v>
      </c>
      <c r="G83" s="2" t="s">
        <v>53</v>
      </c>
      <c r="H83" s="2">
        <v>1</v>
      </c>
      <c r="I83" s="4">
        <v>12500</v>
      </c>
      <c r="J83" s="2" t="s">
        <v>27</v>
      </c>
      <c r="K83" s="2" t="s">
        <v>42</v>
      </c>
      <c r="L83" s="4">
        <f t="shared" si="2"/>
        <v>12500</v>
      </c>
      <c r="M83" t="str">
        <f t="shared" si="3"/>
        <v>Not Counted</v>
      </c>
    </row>
    <row r="84" spans="1:13" x14ac:dyDescent="0.25">
      <c r="A84" s="2" t="s">
        <v>212</v>
      </c>
      <c r="B84" s="3">
        <v>46310</v>
      </c>
      <c r="C84" s="3" t="s">
        <v>849</v>
      </c>
      <c r="D84" s="2" t="s">
        <v>24</v>
      </c>
      <c r="E84" s="2" t="s">
        <v>13</v>
      </c>
      <c r="F84" s="2" t="s">
        <v>65</v>
      </c>
      <c r="G84" s="2" t="s">
        <v>36</v>
      </c>
      <c r="H84" s="2">
        <v>2</v>
      </c>
      <c r="I84" s="4">
        <v>28000</v>
      </c>
      <c r="J84" s="2" t="s">
        <v>22</v>
      </c>
      <c r="K84" s="2" t="s">
        <v>17</v>
      </c>
      <c r="L84" s="4">
        <f t="shared" si="2"/>
        <v>56000</v>
      </c>
      <c r="M84" t="str">
        <f t="shared" si="3"/>
        <v>Counted</v>
      </c>
    </row>
    <row r="85" spans="1:13" x14ac:dyDescent="0.25">
      <c r="A85" s="2" t="s">
        <v>213</v>
      </c>
      <c r="B85" s="3">
        <v>46310</v>
      </c>
      <c r="C85" s="3" t="s">
        <v>849</v>
      </c>
      <c r="D85" s="2" t="s">
        <v>19</v>
      </c>
      <c r="E85" s="2" t="s">
        <v>159</v>
      </c>
      <c r="F85" s="2" t="s">
        <v>117</v>
      </c>
      <c r="G85" s="2" t="s">
        <v>46</v>
      </c>
      <c r="H85" s="2">
        <v>1</v>
      </c>
      <c r="I85" s="4">
        <v>2800</v>
      </c>
      <c r="J85" s="2" t="s">
        <v>16</v>
      </c>
      <c r="K85" s="2" t="s">
        <v>17</v>
      </c>
      <c r="L85" s="4">
        <f t="shared" si="2"/>
        <v>2800</v>
      </c>
      <c r="M85" t="str">
        <f t="shared" si="3"/>
        <v>Counted</v>
      </c>
    </row>
    <row r="86" spans="1:13" x14ac:dyDescent="0.25">
      <c r="A86" s="2" t="s">
        <v>214</v>
      </c>
      <c r="B86" s="3">
        <v>46310</v>
      </c>
      <c r="C86" s="3" t="s">
        <v>849</v>
      </c>
      <c r="D86" s="2" t="s">
        <v>19</v>
      </c>
      <c r="E86" s="2" t="s">
        <v>215</v>
      </c>
      <c r="F86" s="2" t="s">
        <v>65</v>
      </c>
      <c r="G86" s="2" t="s">
        <v>36</v>
      </c>
      <c r="H86" s="2">
        <v>1</v>
      </c>
      <c r="I86" s="4">
        <v>28000</v>
      </c>
      <c r="J86" s="2" t="s">
        <v>37</v>
      </c>
      <c r="K86" s="2" t="s">
        <v>42</v>
      </c>
      <c r="L86" s="4">
        <f t="shared" si="2"/>
        <v>28000</v>
      </c>
      <c r="M86" t="str">
        <f t="shared" si="3"/>
        <v>Not Counted</v>
      </c>
    </row>
    <row r="87" spans="1:13" x14ac:dyDescent="0.25">
      <c r="A87" s="2" t="s">
        <v>216</v>
      </c>
      <c r="B87" s="3">
        <v>46311</v>
      </c>
      <c r="C87" s="3" t="s">
        <v>849</v>
      </c>
      <c r="D87" s="2" t="s">
        <v>19</v>
      </c>
      <c r="E87" s="2" t="s">
        <v>170</v>
      </c>
      <c r="F87" s="2" t="s">
        <v>59</v>
      </c>
      <c r="G87" s="2" t="s">
        <v>53</v>
      </c>
      <c r="H87" s="2">
        <v>1</v>
      </c>
      <c r="I87" s="4">
        <v>3800</v>
      </c>
      <c r="J87" s="2" t="s">
        <v>37</v>
      </c>
      <c r="K87" s="2" t="s">
        <v>17</v>
      </c>
      <c r="L87" s="4">
        <f t="shared" si="2"/>
        <v>3800</v>
      </c>
      <c r="M87" t="str">
        <f t="shared" si="3"/>
        <v>Counted</v>
      </c>
    </row>
    <row r="88" spans="1:13" x14ac:dyDescent="0.25">
      <c r="A88" s="2" t="s">
        <v>217</v>
      </c>
      <c r="B88" s="3">
        <v>46311</v>
      </c>
      <c r="C88" s="3" t="s">
        <v>849</v>
      </c>
      <c r="D88" s="2" t="s">
        <v>19</v>
      </c>
      <c r="E88" s="2" t="s">
        <v>209</v>
      </c>
      <c r="F88" s="2" t="s">
        <v>65</v>
      </c>
      <c r="G88" s="2" t="s">
        <v>36</v>
      </c>
      <c r="H88" s="2">
        <v>1</v>
      </c>
      <c r="I88" s="4">
        <v>28000</v>
      </c>
      <c r="J88" s="2" t="s">
        <v>37</v>
      </c>
      <c r="K88" s="2" t="s">
        <v>28</v>
      </c>
      <c r="L88" s="4">
        <f t="shared" si="2"/>
        <v>28000</v>
      </c>
      <c r="M88" t="str">
        <f t="shared" si="3"/>
        <v>Counted</v>
      </c>
    </row>
    <row r="89" spans="1:13" x14ac:dyDescent="0.25">
      <c r="A89" s="2" t="s">
        <v>218</v>
      </c>
      <c r="B89" s="3">
        <v>46311</v>
      </c>
      <c r="C89" s="3" t="s">
        <v>849</v>
      </c>
      <c r="D89" s="2" t="s">
        <v>19</v>
      </c>
      <c r="E89" s="2" t="s">
        <v>219</v>
      </c>
      <c r="F89" s="2" t="s">
        <v>56</v>
      </c>
      <c r="G89" s="2" t="s">
        <v>46</v>
      </c>
      <c r="H89" s="2">
        <v>3</v>
      </c>
      <c r="I89" s="4">
        <v>7500</v>
      </c>
      <c r="J89" s="2" t="s">
        <v>22</v>
      </c>
      <c r="K89" s="2" t="s">
        <v>107</v>
      </c>
      <c r="L89" s="4">
        <f t="shared" si="2"/>
        <v>22500</v>
      </c>
      <c r="M89" t="str">
        <f t="shared" si="3"/>
        <v>Not Counted</v>
      </c>
    </row>
    <row r="90" spans="1:13" x14ac:dyDescent="0.25">
      <c r="A90" s="2" t="s">
        <v>220</v>
      </c>
      <c r="B90" s="3">
        <v>46311</v>
      </c>
      <c r="C90" s="3" t="s">
        <v>849</v>
      </c>
      <c r="D90" s="2" t="s">
        <v>19</v>
      </c>
      <c r="E90" s="2" t="s">
        <v>149</v>
      </c>
      <c r="F90" s="2" t="s">
        <v>65</v>
      </c>
      <c r="G90" s="2" t="s">
        <v>36</v>
      </c>
      <c r="H90" s="2">
        <v>1</v>
      </c>
      <c r="I90" s="4">
        <v>28000</v>
      </c>
      <c r="J90" s="2" t="s">
        <v>16</v>
      </c>
      <c r="K90" s="2" t="s">
        <v>17</v>
      </c>
      <c r="L90" s="4">
        <f t="shared" si="2"/>
        <v>28000</v>
      </c>
      <c r="M90" t="str">
        <f t="shared" si="3"/>
        <v>Counted</v>
      </c>
    </row>
    <row r="91" spans="1:13" x14ac:dyDescent="0.25">
      <c r="A91" s="2" t="s">
        <v>221</v>
      </c>
      <c r="B91" s="3">
        <v>46311</v>
      </c>
      <c r="C91" s="3" t="s">
        <v>849</v>
      </c>
      <c r="D91" s="2" t="s">
        <v>30</v>
      </c>
      <c r="E91" s="2" t="s">
        <v>222</v>
      </c>
      <c r="F91" s="2" t="s">
        <v>102</v>
      </c>
      <c r="G91" s="2" t="s">
        <v>53</v>
      </c>
      <c r="H91" s="2">
        <v>1</v>
      </c>
      <c r="I91" s="4">
        <v>12500</v>
      </c>
      <c r="J91" s="2" t="s">
        <v>16</v>
      </c>
      <c r="K91" s="2" t="s">
        <v>107</v>
      </c>
      <c r="L91" s="4">
        <f t="shared" si="2"/>
        <v>12500</v>
      </c>
      <c r="M91" t="str">
        <f t="shared" si="3"/>
        <v>Not Counted</v>
      </c>
    </row>
    <row r="92" spans="1:13" x14ac:dyDescent="0.25">
      <c r="A92" s="2" t="s">
        <v>223</v>
      </c>
      <c r="B92" s="3">
        <v>46311</v>
      </c>
      <c r="C92" s="3" t="s">
        <v>849</v>
      </c>
      <c r="D92" s="2" t="s">
        <v>19</v>
      </c>
      <c r="E92" s="2" t="s">
        <v>224</v>
      </c>
      <c r="F92" s="2" t="s">
        <v>65</v>
      </c>
      <c r="G92" s="2" t="s">
        <v>36</v>
      </c>
      <c r="H92" s="2">
        <v>1</v>
      </c>
      <c r="I92" s="4">
        <v>28000</v>
      </c>
      <c r="J92" s="2" t="s">
        <v>22</v>
      </c>
      <c r="K92" s="2" t="s">
        <v>17</v>
      </c>
      <c r="L92" s="4">
        <f t="shared" si="2"/>
        <v>28000</v>
      </c>
      <c r="M92" t="str">
        <f t="shared" si="3"/>
        <v>Counted</v>
      </c>
    </row>
    <row r="93" spans="1:13" x14ac:dyDescent="0.25">
      <c r="A93" s="2" t="s">
        <v>225</v>
      </c>
      <c r="B93" s="3">
        <v>46311</v>
      </c>
      <c r="C93" s="3" t="s">
        <v>849</v>
      </c>
      <c r="D93" s="2" t="s">
        <v>19</v>
      </c>
      <c r="E93" s="2" t="s">
        <v>226</v>
      </c>
      <c r="F93" s="2" t="s">
        <v>52</v>
      </c>
      <c r="G93" s="2" t="s">
        <v>53</v>
      </c>
      <c r="H93" s="2">
        <v>2</v>
      </c>
      <c r="I93" s="4">
        <v>8500</v>
      </c>
      <c r="J93" s="2" t="s">
        <v>92</v>
      </c>
      <c r="K93" s="2" t="s">
        <v>42</v>
      </c>
      <c r="L93" s="4">
        <f t="shared" si="2"/>
        <v>17000</v>
      </c>
      <c r="M93" t="str">
        <f t="shared" si="3"/>
        <v>Not Counted</v>
      </c>
    </row>
    <row r="94" spans="1:13" x14ac:dyDescent="0.25">
      <c r="A94" s="2" t="s">
        <v>227</v>
      </c>
      <c r="B94" s="3">
        <v>46312</v>
      </c>
      <c r="C94" s="3" t="s">
        <v>849</v>
      </c>
      <c r="D94" s="2" t="s">
        <v>12</v>
      </c>
      <c r="E94" s="2" t="s">
        <v>228</v>
      </c>
      <c r="F94" s="2" t="s">
        <v>191</v>
      </c>
      <c r="G94" s="2" t="s">
        <v>41</v>
      </c>
      <c r="H94" s="2">
        <v>2</v>
      </c>
      <c r="I94" s="4">
        <v>1800</v>
      </c>
      <c r="J94" s="2" t="s">
        <v>22</v>
      </c>
      <c r="K94" s="2" t="s">
        <v>17</v>
      </c>
      <c r="L94" s="4">
        <f t="shared" si="2"/>
        <v>3600</v>
      </c>
      <c r="M94" t="str">
        <f t="shared" si="3"/>
        <v>Counted</v>
      </c>
    </row>
    <row r="95" spans="1:13" x14ac:dyDescent="0.25">
      <c r="A95" s="2" t="s">
        <v>229</v>
      </c>
      <c r="B95" s="3">
        <v>46312</v>
      </c>
      <c r="C95" s="3" t="s">
        <v>849</v>
      </c>
      <c r="D95" s="2" t="s">
        <v>12</v>
      </c>
      <c r="E95" s="2" t="s">
        <v>230</v>
      </c>
      <c r="F95" s="2" t="s">
        <v>114</v>
      </c>
      <c r="G95" s="2" t="s">
        <v>36</v>
      </c>
      <c r="H95" s="2">
        <v>3</v>
      </c>
      <c r="I95" s="4">
        <v>9500</v>
      </c>
      <c r="J95" s="2" t="s">
        <v>37</v>
      </c>
      <c r="K95" s="2" t="s">
        <v>28</v>
      </c>
      <c r="L95" s="4">
        <f t="shared" si="2"/>
        <v>28500</v>
      </c>
      <c r="M95" t="str">
        <f t="shared" si="3"/>
        <v>Counted</v>
      </c>
    </row>
    <row r="96" spans="1:13" x14ac:dyDescent="0.25">
      <c r="A96" s="2" t="s">
        <v>231</v>
      </c>
      <c r="B96" s="3">
        <v>46312</v>
      </c>
      <c r="C96" s="3" t="s">
        <v>849</v>
      </c>
      <c r="D96" s="2" t="s">
        <v>19</v>
      </c>
      <c r="E96" s="2" t="s">
        <v>109</v>
      </c>
      <c r="F96" s="2" t="s">
        <v>59</v>
      </c>
      <c r="G96" s="2" t="s">
        <v>53</v>
      </c>
      <c r="H96" s="2">
        <v>2</v>
      </c>
      <c r="I96" s="4">
        <v>3800</v>
      </c>
      <c r="J96" s="2" t="s">
        <v>92</v>
      </c>
      <c r="K96" s="2" t="s">
        <v>42</v>
      </c>
      <c r="L96" s="4">
        <f t="shared" si="2"/>
        <v>7600</v>
      </c>
      <c r="M96" t="str">
        <f t="shared" si="3"/>
        <v>Not Counted</v>
      </c>
    </row>
    <row r="97" spans="1:13" x14ac:dyDescent="0.25">
      <c r="A97" s="2" t="s">
        <v>232</v>
      </c>
      <c r="B97" s="3">
        <v>46312</v>
      </c>
      <c r="C97" s="3" t="s">
        <v>849</v>
      </c>
      <c r="D97" s="2" t="s">
        <v>12</v>
      </c>
      <c r="E97" s="2" t="s">
        <v>139</v>
      </c>
      <c r="F97" s="2" t="s">
        <v>21</v>
      </c>
      <c r="G97" s="2" t="s">
        <v>15</v>
      </c>
      <c r="H97" s="2">
        <v>1</v>
      </c>
      <c r="I97" s="4">
        <v>62000</v>
      </c>
      <c r="J97" s="2" t="s">
        <v>16</v>
      </c>
      <c r="K97" s="2" t="s">
        <v>17</v>
      </c>
      <c r="L97" s="4">
        <f t="shared" si="2"/>
        <v>62000</v>
      </c>
      <c r="M97" t="str">
        <f t="shared" si="3"/>
        <v>Counted</v>
      </c>
    </row>
    <row r="98" spans="1:13" x14ac:dyDescent="0.25">
      <c r="A98" s="2" t="s">
        <v>233</v>
      </c>
      <c r="B98" s="3">
        <v>46312</v>
      </c>
      <c r="C98" s="3" t="s">
        <v>849</v>
      </c>
      <c r="D98" s="2" t="s">
        <v>30</v>
      </c>
      <c r="E98" s="2" t="s">
        <v>234</v>
      </c>
      <c r="F98" s="2" t="s">
        <v>73</v>
      </c>
      <c r="G98" s="2" t="s">
        <v>15</v>
      </c>
      <c r="H98" s="2">
        <v>1</v>
      </c>
      <c r="I98" s="4">
        <v>18000</v>
      </c>
      <c r="J98" s="2" t="s">
        <v>22</v>
      </c>
      <c r="K98" s="2" t="s">
        <v>17</v>
      </c>
      <c r="L98" s="4">
        <f t="shared" si="2"/>
        <v>18000</v>
      </c>
      <c r="M98" t="str">
        <f t="shared" si="3"/>
        <v>Counted</v>
      </c>
    </row>
    <row r="99" spans="1:13" x14ac:dyDescent="0.25">
      <c r="A99" s="2" t="s">
        <v>235</v>
      </c>
      <c r="B99" s="3">
        <v>46312</v>
      </c>
      <c r="C99" s="3" t="s">
        <v>849</v>
      </c>
      <c r="D99" s="2" t="s">
        <v>30</v>
      </c>
      <c r="E99" s="2" t="s">
        <v>236</v>
      </c>
      <c r="F99" s="2" t="s">
        <v>40</v>
      </c>
      <c r="G99" s="2" t="s">
        <v>41</v>
      </c>
      <c r="H99" s="2">
        <v>1</v>
      </c>
      <c r="I99" s="4">
        <v>2400</v>
      </c>
      <c r="J99" s="2" t="s">
        <v>37</v>
      </c>
      <c r="K99" s="2" t="s">
        <v>17</v>
      </c>
      <c r="L99" s="4">
        <f t="shared" si="2"/>
        <v>2400</v>
      </c>
      <c r="M99" t="str">
        <f t="shared" si="3"/>
        <v>Counted</v>
      </c>
    </row>
    <row r="100" spans="1:13" x14ac:dyDescent="0.25">
      <c r="A100" s="2" t="s">
        <v>237</v>
      </c>
      <c r="B100" s="3">
        <v>46312</v>
      </c>
      <c r="C100" s="3" t="s">
        <v>849</v>
      </c>
      <c r="D100" s="2" t="s">
        <v>19</v>
      </c>
      <c r="E100" s="2" t="s">
        <v>238</v>
      </c>
      <c r="F100" s="2" t="s">
        <v>62</v>
      </c>
      <c r="G100" s="2" t="s">
        <v>41</v>
      </c>
      <c r="H100" s="2">
        <v>1</v>
      </c>
      <c r="I100" s="4">
        <v>2200</v>
      </c>
      <c r="J100" s="2" t="s">
        <v>92</v>
      </c>
      <c r="K100" s="2" t="s">
        <v>42</v>
      </c>
      <c r="L100" s="4">
        <f t="shared" si="2"/>
        <v>2200</v>
      </c>
      <c r="M100" t="str">
        <f t="shared" si="3"/>
        <v>Not Counted</v>
      </c>
    </row>
    <row r="101" spans="1:13" x14ac:dyDescent="0.25">
      <c r="A101" s="2" t="s">
        <v>239</v>
      </c>
      <c r="B101" s="3">
        <v>46313</v>
      </c>
      <c r="C101" s="3" t="s">
        <v>849</v>
      </c>
      <c r="D101" s="2" t="s">
        <v>30</v>
      </c>
      <c r="E101" s="2" t="s">
        <v>176</v>
      </c>
      <c r="F101" s="2" t="s">
        <v>62</v>
      </c>
      <c r="G101" s="2" t="s">
        <v>41</v>
      </c>
      <c r="H101" s="2">
        <v>2</v>
      </c>
      <c r="I101" s="4">
        <v>2200</v>
      </c>
      <c r="J101" s="2" t="s">
        <v>16</v>
      </c>
      <c r="K101" s="2" t="s">
        <v>17</v>
      </c>
      <c r="L101" s="4">
        <f t="shared" si="2"/>
        <v>4400</v>
      </c>
      <c r="M101" t="str">
        <f t="shared" si="3"/>
        <v>Counted</v>
      </c>
    </row>
    <row r="102" spans="1:13" x14ac:dyDescent="0.25">
      <c r="A102" s="2" t="s">
        <v>240</v>
      </c>
      <c r="B102" s="3">
        <v>46313</v>
      </c>
      <c r="C102" s="3" t="s">
        <v>849</v>
      </c>
      <c r="D102" s="2" t="s">
        <v>19</v>
      </c>
      <c r="E102" s="2" t="s">
        <v>137</v>
      </c>
      <c r="F102" s="2" t="s">
        <v>117</v>
      </c>
      <c r="G102" s="2" t="s">
        <v>46</v>
      </c>
      <c r="H102" s="2">
        <v>1</v>
      </c>
      <c r="I102" s="4">
        <v>2800</v>
      </c>
      <c r="J102" s="2" t="s">
        <v>22</v>
      </c>
      <c r="K102" s="2" t="s">
        <v>42</v>
      </c>
      <c r="L102" s="4">
        <f t="shared" si="2"/>
        <v>2800</v>
      </c>
      <c r="M102" t="str">
        <f t="shared" si="3"/>
        <v>Not Counted</v>
      </c>
    </row>
    <row r="103" spans="1:13" x14ac:dyDescent="0.25">
      <c r="A103" s="2" t="s">
        <v>241</v>
      </c>
      <c r="B103" s="3">
        <v>46313</v>
      </c>
      <c r="C103" s="3" t="s">
        <v>849</v>
      </c>
      <c r="D103" s="2" t="s">
        <v>19</v>
      </c>
      <c r="E103" s="2" t="s">
        <v>242</v>
      </c>
      <c r="F103" s="2" t="s">
        <v>243</v>
      </c>
      <c r="G103" s="2" t="s">
        <v>15</v>
      </c>
      <c r="H103" s="2">
        <v>3</v>
      </c>
      <c r="I103" s="4">
        <v>9500</v>
      </c>
      <c r="J103" s="2" t="s">
        <v>22</v>
      </c>
      <c r="K103" s="2" t="s">
        <v>17</v>
      </c>
      <c r="L103" s="4">
        <f t="shared" si="2"/>
        <v>28500</v>
      </c>
      <c r="M103" t="str">
        <f t="shared" si="3"/>
        <v>Counted</v>
      </c>
    </row>
    <row r="104" spans="1:13" x14ac:dyDescent="0.25">
      <c r="A104" s="2" t="s">
        <v>244</v>
      </c>
      <c r="B104" s="3">
        <v>46313</v>
      </c>
      <c r="C104" s="3" t="s">
        <v>849</v>
      </c>
      <c r="D104" s="2" t="s">
        <v>24</v>
      </c>
      <c r="E104" s="2" t="s">
        <v>39</v>
      </c>
      <c r="F104" s="2" t="s">
        <v>117</v>
      </c>
      <c r="G104" s="2" t="s">
        <v>46</v>
      </c>
      <c r="H104" s="2">
        <v>1</v>
      </c>
      <c r="I104" s="4">
        <v>2800</v>
      </c>
      <c r="J104" s="2" t="s">
        <v>37</v>
      </c>
      <c r="K104" s="2" t="s">
        <v>17</v>
      </c>
      <c r="L104" s="4">
        <f t="shared" si="2"/>
        <v>2800</v>
      </c>
      <c r="M104" t="str">
        <f t="shared" si="3"/>
        <v>Counted</v>
      </c>
    </row>
    <row r="105" spans="1:13" x14ac:dyDescent="0.25">
      <c r="A105" s="2" t="s">
        <v>245</v>
      </c>
      <c r="B105" s="3">
        <v>46313</v>
      </c>
      <c r="C105" s="3" t="s">
        <v>849</v>
      </c>
      <c r="D105" s="2" t="s">
        <v>12</v>
      </c>
      <c r="E105" s="2" t="s">
        <v>246</v>
      </c>
      <c r="F105" s="2" t="s">
        <v>35</v>
      </c>
      <c r="G105" s="2" t="s">
        <v>36</v>
      </c>
      <c r="H105" s="2">
        <v>1</v>
      </c>
      <c r="I105" s="4">
        <v>12000</v>
      </c>
      <c r="J105" s="2" t="s">
        <v>27</v>
      </c>
      <c r="K105" s="2" t="s">
        <v>42</v>
      </c>
      <c r="L105" s="4">
        <f t="shared" si="2"/>
        <v>12000</v>
      </c>
      <c r="M105" t="str">
        <f t="shared" si="3"/>
        <v>Not Counted</v>
      </c>
    </row>
    <row r="106" spans="1:13" x14ac:dyDescent="0.25">
      <c r="A106" s="2" t="s">
        <v>247</v>
      </c>
      <c r="B106" s="3">
        <v>46313</v>
      </c>
      <c r="C106" s="3" t="s">
        <v>849</v>
      </c>
      <c r="D106" s="2" t="s">
        <v>30</v>
      </c>
      <c r="E106" s="2" t="s">
        <v>246</v>
      </c>
      <c r="F106" s="2" t="s">
        <v>114</v>
      </c>
      <c r="G106" s="2" t="s">
        <v>36</v>
      </c>
      <c r="H106" s="2">
        <v>2</v>
      </c>
      <c r="I106" s="4">
        <v>9500</v>
      </c>
      <c r="J106" s="2" t="s">
        <v>27</v>
      </c>
      <c r="K106" s="2" t="s">
        <v>17</v>
      </c>
      <c r="L106" s="4">
        <f t="shared" si="2"/>
        <v>19000</v>
      </c>
      <c r="M106" t="str">
        <f t="shared" si="3"/>
        <v>Counted</v>
      </c>
    </row>
    <row r="107" spans="1:13" x14ac:dyDescent="0.25">
      <c r="A107" s="2" t="s">
        <v>248</v>
      </c>
      <c r="B107" s="3">
        <v>46313</v>
      </c>
      <c r="C107" s="3" t="s">
        <v>849</v>
      </c>
      <c r="D107" s="2" t="s">
        <v>30</v>
      </c>
      <c r="E107" s="2" t="s">
        <v>167</v>
      </c>
      <c r="F107" s="2" t="s">
        <v>243</v>
      </c>
      <c r="G107" s="2" t="s">
        <v>15</v>
      </c>
      <c r="H107" s="2">
        <v>1</v>
      </c>
      <c r="I107" s="4">
        <v>9500</v>
      </c>
      <c r="J107" s="2" t="s">
        <v>22</v>
      </c>
      <c r="K107" s="2" t="s">
        <v>17</v>
      </c>
      <c r="L107" s="4">
        <f t="shared" si="2"/>
        <v>9500</v>
      </c>
      <c r="M107" t="str">
        <f t="shared" si="3"/>
        <v>Counted</v>
      </c>
    </row>
    <row r="108" spans="1:13" x14ac:dyDescent="0.25">
      <c r="A108" s="2" t="s">
        <v>249</v>
      </c>
      <c r="B108" s="3">
        <v>46313</v>
      </c>
      <c r="C108" s="3" t="s">
        <v>849</v>
      </c>
      <c r="D108" s="2" t="s">
        <v>19</v>
      </c>
      <c r="E108" s="2" t="s">
        <v>51</v>
      </c>
      <c r="F108" s="2" t="s">
        <v>21</v>
      </c>
      <c r="G108" s="2" t="s">
        <v>15</v>
      </c>
      <c r="H108" s="2">
        <v>1</v>
      </c>
      <c r="I108" s="4">
        <v>62000</v>
      </c>
      <c r="J108" s="2" t="s">
        <v>92</v>
      </c>
      <c r="K108" s="2" t="s">
        <v>28</v>
      </c>
      <c r="L108" s="4">
        <f t="shared" si="2"/>
        <v>62000</v>
      </c>
      <c r="M108" t="str">
        <f t="shared" si="3"/>
        <v>Counted</v>
      </c>
    </row>
    <row r="109" spans="1:13" x14ac:dyDescent="0.25">
      <c r="A109" s="2" t="s">
        <v>250</v>
      </c>
      <c r="B109" s="3">
        <v>46313</v>
      </c>
      <c r="C109" s="3" t="s">
        <v>849</v>
      </c>
      <c r="D109" s="2" t="s">
        <v>24</v>
      </c>
      <c r="E109" s="2" t="s">
        <v>251</v>
      </c>
      <c r="F109" s="2" t="s">
        <v>95</v>
      </c>
      <c r="G109" s="2" t="s">
        <v>15</v>
      </c>
      <c r="H109" s="2">
        <v>2</v>
      </c>
      <c r="I109" s="4">
        <v>58000</v>
      </c>
      <c r="J109" s="2" t="s">
        <v>16</v>
      </c>
      <c r="K109" s="2" t="s">
        <v>17</v>
      </c>
      <c r="L109" s="4">
        <f t="shared" si="2"/>
        <v>116000</v>
      </c>
      <c r="M109" t="str">
        <f t="shared" si="3"/>
        <v>Counted</v>
      </c>
    </row>
    <row r="110" spans="1:13" x14ac:dyDescent="0.25">
      <c r="A110" s="2" t="s">
        <v>252</v>
      </c>
      <c r="B110" s="3">
        <v>46314</v>
      </c>
      <c r="C110" s="3" t="s">
        <v>849</v>
      </c>
      <c r="D110" s="2" t="s">
        <v>24</v>
      </c>
      <c r="E110" s="2" t="s">
        <v>253</v>
      </c>
      <c r="F110" s="2" t="s">
        <v>49</v>
      </c>
      <c r="G110" s="2" t="s">
        <v>46</v>
      </c>
      <c r="H110" s="2">
        <v>2</v>
      </c>
      <c r="I110" s="4">
        <v>5000</v>
      </c>
      <c r="J110" s="2" t="s">
        <v>16</v>
      </c>
      <c r="K110" s="2" t="s">
        <v>17</v>
      </c>
      <c r="L110" s="4">
        <f t="shared" si="2"/>
        <v>10000</v>
      </c>
      <c r="M110" t="str">
        <f t="shared" si="3"/>
        <v>Counted</v>
      </c>
    </row>
    <row r="111" spans="1:13" x14ac:dyDescent="0.25">
      <c r="A111" s="2" t="s">
        <v>254</v>
      </c>
      <c r="B111" s="3">
        <v>46314</v>
      </c>
      <c r="C111" s="3" t="s">
        <v>849</v>
      </c>
      <c r="D111" s="2" t="s">
        <v>19</v>
      </c>
      <c r="E111" s="2" t="s">
        <v>139</v>
      </c>
      <c r="F111" s="2" t="s">
        <v>133</v>
      </c>
      <c r="G111" s="2" t="s">
        <v>15</v>
      </c>
      <c r="H111" s="2">
        <v>1</v>
      </c>
      <c r="I111" s="4">
        <v>1800</v>
      </c>
      <c r="J111" s="2" t="s">
        <v>27</v>
      </c>
      <c r="K111" s="2" t="s">
        <v>17</v>
      </c>
      <c r="L111" s="4">
        <f t="shared" si="2"/>
        <v>1800</v>
      </c>
      <c r="M111" t="str">
        <f t="shared" si="3"/>
        <v>Counted</v>
      </c>
    </row>
    <row r="112" spans="1:13" x14ac:dyDescent="0.25">
      <c r="A112" s="2" t="s">
        <v>255</v>
      </c>
      <c r="B112" s="3">
        <v>46314</v>
      </c>
      <c r="C112" s="3" t="s">
        <v>849</v>
      </c>
      <c r="D112" s="2" t="s">
        <v>12</v>
      </c>
      <c r="E112" s="2" t="s">
        <v>256</v>
      </c>
      <c r="F112" s="2" t="s">
        <v>26</v>
      </c>
      <c r="G112" s="2" t="s">
        <v>15</v>
      </c>
      <c r="H112" s="2">
        <v>1</v>
      </c>
      <c r="I112" s="4">
        <v>24000</v>
      </c>
      <c r="J112" s="2" t="s">
        <v>27</v>
      </c>
      <c r="K112" s="2" t="s">
        <v>17</v>
      </c>
      <c r="L112" s="4">
        <f t="shared" si="2"/>
        <v>24000</v>
      </c>
      <c r="M112" t="str">
        <f t="shared" si="3"/>
        <v>Counted</v>
      </c>
    </row>
    <row r="113" spans="1:13" x14ac:dyDescent="0.25">
      <c r="A113" s="2" t="s">
        <v>257</v>
      </c>
      <c r="B113" s="3">
        <v>46314</v>
      </c>
      <c r="C113" s="3" t="s">
        <v>849</v>
      </c>
      <c r="D113" s="2" t="s">
        <v>19</v>
      </c>
      <c r="E113" s="2" t="s">
        <v>58</v>
      </c>
      <c r="F113" s="2" t="s">
        <v>52</v>
      </c>
      <c r="G113" s="2" t="s">
        <v>53</v>
      </c>
      <c r="H113" s="2">
        <v>2</v>
      </c>
      <c r="I113" s="4">
        <v>8500</v>
      </c>
      <c r="J113" s="2" t="s">
        <v>16</v>
      </c>
      <c r="K113" s="2" t="s">
        <v>28</v>
      </c>
      <c r="L113" s="4">
        <f t="shared" si="2"/>
        <v>17000</v>
      </c>
      <c r="M113" t="str">
        <f t="shared" si="3"/>
        <v>Counted</v>
      </c>
    </row>
    <row r="114" spans="1:13" x14ac:dyDescent="0.25">
      <c r="A114" s="2" t="s">
        <v>258</v>
      </c>
      <c r="B114" s="3">
        <v>46314</v>
      </c>
      <c r="C114" s="3" t="s">
        <v>849</v>
      </c>
      <c r="D114" s="2" t="s">
        <v>12</v>
      </c>
      <c r="E114" s="2" t="s">
        <v>215</v>
      </c>
      <c r="F114" s="2" t="s">
        <v>14</v>
      </c>
      <c r="G114" s="2" t="s">
        <v>15</v>
      </c>
      <c r="H114" s="2">
        <v>1</v>
      </c>
      <c r="I114" s="4">
        <v>65000</v>
      </c>
      <c r="J114" s="2" t="s">
        <v>16</v>
      </c>
      <c r="K114" s="2" t="s">
        <v>28</v>
      </c>
      <c r="L114" s="4">
        <f t="shared" si="2"/>
        <v>65000</v>
      </c>
      <c r="M114" t="str">
        <f t="shared" si="3"/>
        <v>Counted</v>
      </c>
    </row>
    <row r="115" spans="1:13" x14ac:dyDescent="0.25">
      <c r="A115" s="2" t="s">
        <v>259</v>
      </c>
      <c r="B115" s="3">
        <v>46314</v>
      </c>
      <c r="C115" s="3" t="s">
        <v>849</v>
      </c>
      <c r="D115" s="2" t="s">
        <v>24</v>
      </c>
      <c r="E115" s="2" t="s">
        <v>242</v>
      </c>
      <c r="F115" s="2" t="s">
        <v>35</v>
      </c>
      <c r="G115" s="2" t="s">
        <v>36</v>
      </c>
      <c r="H115" s="2">
        <v>1</v>
      </c>
      <c r="I115" s="4">
        <v>12000</v>
      </c>
      <c r="J115" s="2" t="s">
        <v>92</v>
      </c>
      <c r="K115" s="2" t="s">
        <v>17</v>
      </c>
      <c r="L115" s="4">
        <f t="shared" si="2"/>
        <v>12000</v>
      </c>
      <c r="M115" t="str">
        <f t="shared" si="3"/>
        <v>Counted</v>
      </c>
    </row>
    <row r="116" spans="1:13" x14ac:dyDescent="0.25">
      <c r="A116" s="2" t="s">
        <v>260</v>
      </c>
      <c r="B116" s="3">
        <v>46314</v>
      </c>
      <c r="C116" s="3" t="s">
        <v>849</v>
      </c>
      <c r="D116" s="2" t="s">
        <v>24</v>
      </c>
      <c r="E116" s="2" t="s">
        <v>64</v>
      </c>
      <c r="F116" s="2" t="s">
        <v>87</v>
      </c>
      <c r="G116" s="2" t="s">
        <v>46</v>
      </c>
      <c r="H116" s="2">
        <v>2</v>
      </c>
      <c r="I116" s="4">
        <v>1600</v>
      </c>
      <c r="J116" s="2" t="s">
        <v>22</v>
      </c>
      <c r="K116" s="2" t="s">
        <v>17</v>
      </c>
      <c r="L116" s="4">
        <f t="shared" si="2"/>
        <v>3200</v>
      </c>
      <c r="M116" t="str">
        <f t="shared" si="3"/>
        <v>Counted</v>
      </c>
    </row>
    <row r="117" spans="1:13" x14ac:dyDescent="0.25">
      <c r="A117" s="2" t="s">
        <v>261</v>
      </c>
      <c r="B117" s="3">
        <v>46314</v>
      </c>
      <c r="C117" s="3" t="s">
        <v>849</v>
      </c>
      <c r="D117" s="2" t="s">
        <v>24</v>
      </c>
      <c r="E117" s="2" t="s">
        <v>224</v>
      </c>
      <c r="F117" s="2" t="s">
        <v>62</v>
      </c>
      <c r="G117" s="2" t="s">
        <v>41</v>
      </c>
      <c r="H117" s="2">
        <v>2</v>
      </c>
      <c r="I117" s="4">
        <v>2200</v>
      </c>
      <c r="J117" s="2" t="s">
        <v>16</v>
      </c>
      <c r="K117" s="2" t="s">
        <v>17</v>
      </c>
      <c r="L117" s="4">
        <f t="shared" si="2"/>
        <v>4400</v>
      </c>
      <c r="M117" t="str">
        <f t="shared" si="3"/>
        <v>Counted</v>
      </c>
    </row>
    <row r="118" spans="1:13" x14ac:dyDescent="0.25">
      <c r="A118" s="2" t="s">
        <v>262</v>
      </c>
      <c r="B118" s="3">
        <v>46314</v>
      </c>
      <c r="C118" s="3" t="s">
        <v>849</v>
      </c>
      <c r="D118" s="2" t="s">
        <v>19</v>
      </c>
      <c r="E118" s="2" t="s">
        <v>157</v>
      </c>
      <c r="F118" s="2" t="s">
        <v>21</v>
      </c>
      <c r="G118" s="2" t="s">
        <v>15</v>
      </c>
      <c r="H118" s="2">
        <v>1</v>
      </c>
      <c r="I118" s="4">
        <v>62000</v>
      </c>
      <c r="J118" s="2" t="s">
        <v>22</v>
      </c>
      <c r="K118" s="2" t="s">
        <v>42</v>
      </c>
      <c r="L118" s="4">
        <f t="shared" si="2"/>
        <v>62000</v>
      </c>
      <c r="M118" t="str">
        <f t="shared" si="3"/>
        <v>Not Counted</v>
      </c>
    </row>
    <row r="119" spans="1:13" x14ac:dyDescent="0.25">
      <c r="A119" s="2" t="s">
        <v>263</v>
      </c>
      <c r="B119" s="3">
        <v>46315</v>
      </c>
      <c r="C119" s="3" t="s">
        <v>849</v>
      </c>
      <c r="D119" s="2" t="s">
        <v>24</v>
      </c>
      <c r="E119" s="2" t="s">
        <v>106</v>
      </c>
      <c r="F119" s="2" t="s">
        <v>32</v>
      </c>
      <c r="G119" s="2" t="s">
        <v>15</v>
      </c>
      <c r="H119" s="2">
        <v>1</v>
      </c>
      <c r="I119" s="4">
        <v>52000</v>
      </c>
      <c r="J119" s="2" t="s">
        <v>37</v>
      </c>
      <c r="K119" s="2" t="s">
        <v>28</v>
      </c>
      <c r="L119" s="4">
        <f t="shared" si="2"/>
        <v>52000</v>
      </c>
      <c r="M119" t="str">
        <f t="shared" si="3"/>
        <v>Counted</v>
      </c>
    </row>
    <row r="120" spans="1:13" x14ac:dyDescent="0.25">
      <c r="A120" s="2" t="s">
        <v>264</v>
      </c>
      <c r="B120" s="3">
        <v>46315</v>
      </c>
      <c r="C120" s="3" t="s">
        <v>849</v>
      </c>
      <c r="D120" s="2" t="s">
        <v>30</v>
      </c>
      <c r="E120" s="2" t="s">
        <v>77</v>
      </c>
      <c r="F120" s="2" t="s">
        <v>49</v>
      </c>
      <c r="G120" s="2" t="s">
        <v>46</v>
      </c>
      <c r="H120" s="2">
        <v>1</v>
      </c>
      <c r="I120" s="4">
        <v>5000</v>
      </c>
      <c r="J120" s="2" t="s">
        <v>92</v>
      </c>
      <c r="K120" s="2" t="s">
        <v>42</v>
      </c>
      <c r="L120" s="4">
        <f t="shared" si="2"/>
        <v>5000</v>
      </c>
      <c r="M120" t="str">
        <f t="shared" si="3"/>
        <v>Not Counted</v>
      </c>
    </row>
    <row r="121" spans="1:13" x14ac:dyDescent="0.25">
      <c r="A121" s="2" t="s">
        <v>265</v>
      </c>
      <c r="B121" s="3">
        <v>46315</v>
      </c>
      <c r="C121" s="3" t="s">
        <v>849</v>
      </c>
      <c r="D121" s="2" t="s">
        <v>24</v>
      </c>
      <c r="E121" s="2" t="s">
        <v>51</v>
      </c>
      <c r="F121" s="2" t="s">
        <v>87</v>
      </c>
      <c r="G121" s="2" t="s">
        <v>46</v>
      </c>
      <c r="H121" s="2">
        <v>1</v>
      </c>
      <c r="I121" s="4">
        <v>1600</v>
      </c>
      <c r="J121" s="2" t="s">
        <v>92</v>
      </c>
      <c r="K121" s="2" t="s">
        <v>17</v>
      </c>
      <c r="L121" s="4">
        <f t="shared" si="2"/>
        <v>1600</v>
      </c>
      <c r="M121" t="str">
        <f t="shared" si="3"/>
        <v>Counted</v>
      </c>
    </row>
    <row r="122" spans="1:13" x14ac:dyDescent="0.25">
      <c r="A122" s="2" t="s">
        <v>266</v>
      </c>
      <c r="B122" s="3">
        <v>46315</v>
      </c>
      <c r="C122" s="3" t="s">
        <v>849</v>
      </c>
      <c r="D122" s="2" t="s">
        <v>24</v>
      </c>
      <c r="E122" s="2" t="s">
        <v>149</v>
      </c>
      <c r="F122" s="2" t="s">
        <v>62</v>
      </c>
      <c r="G122" s="2" t="s">
        <v>41</v>
      </c>
      <c r="H122" s="2">
        <v>3</v>
      </c>
      <c r="I122" s="4">
        <v>2200</v>
      </c>
      <c r="J122" s="2" t="s">
        <v>37</v>
      </c>
      <c r="K122" s="2" t="s">
        <v>17</v>
      </c>
      <c r="L122" s="4">
        <f t="shared" si="2"/>
        <v>6600</v>
      </c>
      <c r="M122" t="str">
        <f t="shared" si="3"/>
        <v>Counted</v>
      </c>
    </row>
    <row r="123" spans="1:13" x14ac:dyDescent="0.25">
      <c r="A123" s="2" t="s">
        <v>267</v>
      </c>
      <c r="B123" s="3">
        <v>46316</v>
      </c>
      <c r="C123" s="3" t="s">
        <v>849</v>
      </c>
      <c r="D123" s="2" t="s">
        <v>19</v>
      </c>
      <c r="E123" s="2" t="s">
        <v>211</v>
      </c>
      <c r="F123" s="2" t="s">
        <v>56</v>
      </c>
      <c r="G123" s="2" t="s">
        <v>46</v>
      </c>
      <c r="H123" s="2">
        <v>1</v>
      </c>
      <c r="I123" s="4">
        <v>7500</v>
      </c>
      <c r="J123" s="2" t="s">
        <v>22</v>
      </c>
      <c r="K123" s="2" t="s">
        <v>17</v>
      </c>
      <c r="L123" s="4">
        <f t="shared" si="2"/>
        <v>7500</v>
      </c>
      <c r="M123" t="str">
        <f t="shared" si="3"/>
        <v>Counted</v>
      </c>
    </row>
    <row r="124" spans="1:13" x14ac:dyDescent="0.25">
      <c r="A124" s="2" t="s">
        <v>268</v>
      </c>
      <c r="B124" s="3">
        <v>46316</v>
      </c>
      <c r="C124" s="3" t="s">
        <v>849</v>
      </c>
      <c r="D124" s="2" t="s">
        <v>30</v>
      </c>
      <c r="E124" s="2" t="s">
        <v>269</v>
      </c>
      <c r="F124" s="2" t="s">
        <v>62</v>
      </c>
      <c r="G124" s="2" t="s">
        <v>41</v>
      </c>
      <c r="H124" s="2">
        <v>1</v>
      </c>
      <c r="I124" s="4">
        <v>2200</v>
      </c>
      <c r="J124" s="2" t="s">
        <v>92</v>
      </c>
      <c r="K124" s="2" t="s">
        <v>107</v>
      </c>
      <c r="L124" s="4">
        <f t="shared" si="2"/>
        <v>2200</v>
      </c>
      <c r="M124" t="str">
        <f t="shared" si="3"/>
        <v>Not Counted</v>
      </c>
    </row>
    <row r="125" spans="1:13" x14ac:dyDescent="0.25">
      <c r="A125" s="2" t="s">
        <v>270</v>
      </c>
      <c r="B125" s="3">
        <v>46316</v>
      </c>
      <c r="C125" s="3" t="s">
        <v>849</v>
      </c>
      <c r="D125" s="2" t="s">
        <v>30</v>
      </c>
      <c r="E125" s="2" t="s">
        <v>271</v>
      </c>
      <c r="F125" s="2" t="s">
        <v>21</v>
      </c>
      <c r="G125" s="2" t="s">
        <v>15</v>
      </c>
      <c r="H125" s="2">
        <v>1</v>
      </c>
      <c r="I125" s="4">
        <v>62000</v>
      </c>
      <c r="J125" s="2" t="s">
        <v>27</v>
      </c>
      <c r="K125" s="2" t="s">
        <v>17</v>
      </c>
      <c r="L125" s="4">
        <f t="shared" si="2"/>
        <v>62000</v>
      </c>
      <c r="M125" t="str">
        <f t="shared" si="3"/>
        <v>Counted</v>
      </c>
    </row>
    <row r="126" spans="1:13" x14ac:dyDescent="0.25">
      <c r="A126" s="2" t="s">
        <v>272</v>
      </c>
      <c r="B126" s="3">
        <v>46316</v>
      </c>
      <c r="C126" s="3" t="s">
        <v>849</v>
      </c>
      <c r="D126" s="2" t="s">
        <v>30</v>
      </c>
      <c r="E126" s="2" t="s">
        <v>170</v>
      </c>
      <c r="F126" s="2" t="s">
        <v>84</v>
      </c>
      <c r="G126" s="2" t="s">
        <v>53</v>
      </c>
      <c r="H126" s="2">
        <v>1</v>
      </c>
      <c r="I126" s="4">
        <v>22000</v>
      </c>
      <c r="J126" s="2" t="s">
        <v>22</v>
      </c>
      <c r="K126" s="2" t="s">
        <v>17</v>
      </c>
      <c r="L126" s="4">
        <f t="shared" si="2"/>
        <v>22000</v>
      </c>
      <c r="M126" t="str">
        <f t="shared" si="3"/>
        <v>Counted</v>
      </c>
    </row>
    <row r="127" spans="1:13" x14ac:dyDescent="0.25">
      <c r="A127" s="2" t="s">
        <v>273</v>
      </c>
      <c r="B127" s="3">
        <v>46316</v>
      </c>
      <c r="C127" s="3" t="s">
        <v>849</v>
      </c>
      <c r="D127" s="2" t="s">
        <v>30</v>
      </c>
      <c r="E127" s="2" t="s">
        <v>274</v>
      </c>
      <c r="F127" s="2" t="s">
        <v>87</v>
      </c>
      <c r="G127" s="2" t="s">
        <v>46</v>
      </c>
      <c r="H127" s="2">
        <v>1</v>
      </c>
      <c r="I127" s="4">
        <v>1600</v>
      </c>
      <c r="J127" s="2" t="s">
        <v>16</v>
      </c>
      <c r="K127" s="2" t="s">
        <v>28</v>
      </c>
      <c r="L127" s="4">
        <f t="shared" si="2"/>
        <v>1600</v>
      </c>
      <c r="M127" t="str">
        <f t="shared" si="3"/>
        <v>Counted</v>
      </c>
    </row>
    <row r="128" spans="1:13" x14ac:dyDescent="0.25">
      <c r="A128" s="2" t="s">
        <v>275</v>
      </c>
      <c r="B128" s="3">
        <v>46316</v>
      </c>
      <c r="C128" s="3" t="s">
        <v>849</v>
      </c>
      <c r="D128" s="2" t="s">
        <v>12</v>
      </c>
      <c r="E128" s="2" t="s">
        <v>274</v>
      </c>
      <c r="F128" s="2" t="s">
        <v>26</v>
      </c>
      <c r="G128" s="2" t="s">
        <v>15</v>
      </c>
      <c r="H128" s="2">
        <v>1</v>
      </c>
      <c r="I128" s="4">
        <v>24000</v>
      </c>
      <c r="J128" s="2" t="s">
        <v>22</v>
      </c>
      <c r="K128" s="2" t="s">
        <v>28</v>
      </c>
      <c r="L128" s="4">
        <f t="shared" si="2"/>
        <v>24000</v>
      </c>
      <c r="M128" t="str">
        <f t="shared" si="3"/>
        <v>Counted</v>
      </c>
    </row>
    <row r="129" spans="1:13" x14ac:dyDescent="0.25">
      <c r="A129" s="2" t="s">
        <v>276</v>
      </c>
      <c r="B129" s="3">
        <v>46316</v>
      </c>
      <c r="C129" s="3" t="s">
        <v>849</v>
      </c>
      <c r="D129" s="2" t="s">
        <v>12</v>
      </c>
      <c r="E129" s="2" t="s">
        <v>277</v>
      </c>
      <c r="F129" s="2" t="s">
        <v>73</v>
      </c>
      <c r="G129" s="2" t="s">
        <v>15</v>
      </c>
      <c r="H129" s="2">
        <v>1</v>
      </c>
      <c r="I129" s="4">
        <v>18000</v>
      </c>
      <c r="J129" s="2" t="s">
        <v>22</v>
      </c>
      <c r="K129" s="2" t="s">
        <v>17</v>
      </c>
      <c r="L129" s="4">
        <f t="shared" si="2"/>
        <v>18000</v>
      </c>
      <c r="M129" t="str">
        <f t="shared" si="3"/>
        <v>Counted</v>
      </c>
    </row>
    <row r="130" spans="1:13" x14ac:dyDescent="0.25">
      <c r="A130" s="2" t="s">
        <v>278</v>
      </c>
      <c r="B130" s="3">
        <v>46316</v>
      </c>
      <c r="C130" s="3" t="s">
        <v>849</v>
      </c>
      <c r="D130" s="2" t="s">
        <v>12</v>
      </c>
      <c r="E130" s="2" t="s">
        <v>141</v>
      </c>
      <c r="F130" s="2" t="s">
        <v>68</v>
      </c>
      <c r="G130" s="2" t="s">
        <v>41</v>
      </c>
      <c r="H130" s="2">
        <v>1</v>
      </c>
      <c r="I130" s="4">
        <v>1500</v>
      </c>
      <c r="J130" s="2" t="s">
        <v>16</v>
      </c>
      <c r="K130" s="2" t="s">
        <v>17</v>
      </c>
      <c r="L130" s="4">
        <f t="shared" ref="L130:L193" si="4">H130*I130</f>
        <v>1500</v>
      </c>
      <c r="M130" t="str">
        <f t="shared" si="3"/>
        <v>Counted</v>
      </c>
    </row>
    <row r="131" spans="1:13" x14ac:dyDescent="0.25">
      <c r="A131" s="2" t="s">
        <v>279</v>
      </c>
      <c r="B131" s="3">
        <v>46317</v>
      </c>
      <c r="C131" s="3" t="s">
        <v>849</v>
      </c>
      <c r="D131" s="2" t="s">
        <v>30</v>
      </c>
      <c r="E131" s="2" t="s">
        <v>280</v>
      </c>
      <c r="F131" s="2" t="s">
        <v>117</v>
      </c>
      <c r="G131" s="2" t="s">
        <v>46</v>
      </c>
      <c r="H131" s="2">
        <v>1</v>
      </c>
      <c r="I131" s="4">
        <v>2800</v>
      </c>
      <c r="J131" s="2" t="s">
        <v>22</v>
      </c>
      <c r="K131" s="2" t="s">
        <v>28</v>
      </c>
      <c r="L131" s="4">
        <f t="shared" si="4"/>
        <v>2800</v>
      </c>
      <c r="M131" t="str">
        <f t="shared" ref="M131:M194" si="5">IF(OR(K131="Cancelled",K131="Returned"),"Not Counted","Counted")</f>
        <v>Counted</v>
      </c>
    </row>
    <row r="132" spans="1:13" x14ac:dyDescent="0.25">
      <c r="A132" s="2" t="s">
        <v>281</v>
      </c>
      <c r="B132" s="3">
        <v>46317</v>
      </c>
      <c r="C132" s="3" t="s">
        <v>849</v>
      </c>
      <c r="D132" s="2" t="s">
        <v>19</v>
      </c>
      <c r="E132" s="2" t="s">
        <v>269</v>
      </c>
      <c r="F132" s="2" t="s">
        <v>52</v>
      </c>
      <c r="G132" s="2" t="s">
        <v>53</v>
      </c>
      <c r="H132" s="2">
        <v>1</v>
      </c>
      <c r="I132" s="4">
        <v>8500</v>
      </c>
      <c r="J132" s="2" t="s">
        <v>37</v>
      </c>
      <c r="K132" s="2" t="s">
        <v>17</v>
      </c>
      <c r="L132" s="4">
        <f t="shared" si="4"/>
        <v>8500</v>
      </c>
      <c r="M132" t="str">
        <f t="shared" si="5"/>
        <v>Counted</v>
      </c>
    </row>
    <row r="133" spans="1:13" x14ac:dyDescent="0.25">
      <c r="A133" s="2" t="s">
        <v>282</v>
      </c>
      <c r="B133" s="3">
        <v>46317</v>
      </c>
      <c r="C133" s="3" t="s">
        <v>849</v>
      </c>
      <c r="D133" s="2" t="s">
        <v>19</v>
      </c>
      <c r="E133" s="2" t="s">
        <v>283</v>
      </c>
      <c r="F133" s="2" t="s">
        <v>191</v>
      </c>
      <c r="G133" s="2" t="s">
        <v>41</v>
      </c>
      <c r="H133" s="2">
        <v>2</v>
      </c>
      <c r="I133" s="4">
        <v>1800</v>
      </c>
      <c r="J133" s="2" t="s">
        <v>22</v>
      </c>
      <c r="K133" s="2" t="s">
        <v>28</v>
      </c>
      <c r="L133" s="4">
        <f t="shared" si="4"/>
        <v>3600</v>
      </c>
      <c r="M133" t="str">
        <f t="shared" si="5"/>
        <v>Counted</v>
      </c>
    </row>
    <row r="134" spans="1:13" x14ac:dyDescent="0.25">
      <c r="A134" s="2" t="s">
        <v>284</v>
      </c>
      <c r="B134" s="3">
        <v>46317</v>
      </c>
      <c r="C134" s="3" t="s">
        <v>849</v>
      </c>
      <c r="D134" s="2" t="s">
        <v>12</v>
      </c>
      <c r="E134" s="2" t="s">
        <v>190</v>
      </c>
      <c r="F134" s="2" t="s">
        <v>62</v>
      </c>
      <c r="G134" s="2" t="s">
        <v>41</v>
      </c>
      <c r="H134" s="2">
        <v>1</v>
      </c>
      <c r="I134" s="4">
        <v>2200</v>
      </c>
      <c r="J134" s="2" t="s">
        <v>92</v>
      </c>
      <c r="K134" s="2" t="s">
        <v>17</v>
      </c>
      <c r="L134" s="4">
        <f t="shared" si="4"/>
        <v>2200</v>
      </c>
      <c r="M134" t="str">
        <f t="shared" si="5"/>
        <v>Counted</v>
      </c>
    </row>
    <row r="135" spans="1:13" x14ac:dyDescent="0.25">
      <c r="A135" s="2" t="s">
        <v>285</v>
      </c>
      <c r="B135" s="3">
        <v>46317</v>
      </c>
      <c r="C135" s="3" t="s">
        <v>849</v>
      </c>
      <c r="D135" s="2" t="s">
        <v>24</v>
      </c>
      <c r="E135" s="2" t="s">
        <v>286</v>
      </c>
      <c r="F135" s="2" t="s">
        <v>35</v>
      </c>
      <c r="G135" s="2" t="s">
        <v>36</v>
      </c>
      <c r="H135" s="2">
        <v>1</v>
      </c>
      <c r="I135" s="4">
        <v>12000</v>
      </c>
      <c r="J135" s="2" t="s">
        <v>37</v>
      </c>
      <c r="K135" s="2" t="s">
        <v>17</v>
      </c>
      <c r="L135" s="4">
        <f t="shared" si="4"/>
        <v>12000</v>
      </c>
      <c r="M135" t="str">
        <f t="shared" si="5"/>
        <v>Counted</v>
      </c>
    </row>
    <row r="136" spans="1:13" x14ac:dyDescent="0.25">
      <c r="A136" s="2" t="s">
        <v>287</v>
      </c>
      <c r="B136" s="3">
        <v>46318</v>
      </c>
      <c r="C136" s="3" t="s">
        <v>849</v>
      </c>
      <c r="D136" s="2" t="s">
        <v>19</v>
      </c>
      <c r="E136" s="2" t="s">
        <v>149</v>
      </c>
      <c r="F136" s="2" t="s">
        <v>62</v>
      </c>
      <c r="G136" s="2" t="s">
        <v>41</v>
      </c>
      <c r="H136" s="2">
        <v>1</v>
      </c>
      <c r="I136" s="4">
        <v>2200</v>
      </c>
      <c r="J136" s="2" t="s">
        <v>27</v>
      </c>
      <c r="K136" s="2" t="s">
        <v>17</v>
      </c>
      <c r="L136" s="4">
        <f t="shared" si="4"/>
        <v>2200</v>
      </c>
      <c r="M136" t="str">
        <f t="shared" si="5"/>
        <v>Counted</v>
      </c>
    </row>
    <row r="137" spans="1:13" x14ac:dyDescent="0.25">
      <c r="A137" s="2" t="s">
        <v>288</v>
      </c>
      <c r="B137" s="3">
        <v>46318</v>
      </c>
      <c r="C137" s="3" t="s">
        <v>849</v>
      </c>
      <c r="D137" s="2" t="s">
        <v>30</v>
      </c>
      <c r="E137" s="2" t="s">
        <v>123</v>
      </c>
      <c r="F137" s="2" t="s">
        <v>56</v>
      </c>
      <c r="G137" s="2" t="s">
        <v>46</v>
      </c>
      <c r="H137" s="2">
        <v>1</v>
      </c>
      <c r="I137" s="4">
        <v>7500</v>
      </c>
      <c r="J137" s="2" t="s">
        <v>16</v>
      </c>
      <c r="K137" s="2" t="s">
        <v>17</v>
      </c>
      <c r="L137" s="4">
        <f t="shared" si="4"/>
        <v>7500</v>
      </c>
      <c r="M137" t="str">
        <f t="shared" si="5"/>
        <v>Counted</v>
      </c>
    </row>
    <row r="138" spans="1:13" x14ac:dyDescent="0.25">
      <c r="A138" s="2" t="s">
        <v>289</v>
      </c>
      <c r="B138" s="3">
        <v>46318</v>
      </c>
      <c r="C138" s="3" t="s">
        <v>849</v>
      </c>
      <c r="D138" s="2" t="s">
        <v>19</v>
      </c>
      <c r="E138" s="2" t="s">
        <v>77</v>
      </c>
      <c r="F138" s="2" t="s">
        <v>65</v>
      </c>
      <c r="G138" s="2" t="s">
        <v>36</v>
      </c>
      <c r="H138" s="2">
        <v>1</v>
      </c>
      <c r="I138" s="4">
        <v>28000</v>
      </c>
      <c r="J138" s="2" t="s">
        <v>27</v>
      </c>
      <c r="K138" s="2" t="s">
        <v>17</v>
      </c>
      <c r="L138" s="4">
        <f t="shared" si="4"/>
        <v>28000</v>
      </c>
      <c r="M138" t="str">
        <f t="shared" si="5"/>
        <v>Counted</v>
      </c>
    </row>
    <row r="139" spans="1:13" x14ac:dyDescent="0.25">
      <c r="A139" s="2" t="s">
        <v>290</v>
      </c>
      <c r="B139" s="3">
        <v>46318</v>
      </c>
      <c r="C139" s="3" t="s">
        <v>849</v>
      </c>
      <c r="D139" s="2" t="s">
        <v>24</v>
      </c>
      <c r="E139" s="2" t="s">
        <v>291</v>
      </c>
      <c r="F139" s="2" t="s">
        <v>65</v>
      </c>
      <c r="G139" s="2" t="s">
        <v>36</v>
      </c>
      <c r="H139" s="2">
        <v>1</v>
      </c>
      <c r="I139" s="4">
        <v>28000</v>
      </c>
      <c r="J139" s="2" t="s">
        <v>92</v>
      </c>
      <c r="K139" s="2" t="s">
        <v>17</v>
      </c>
      <c r="L139" s="4">
        <f t="shared" si="4"/>
        <v>28000</v>
      </c>
      <c r="M139" t="str">
        <f t="shared" si="5"/>
        <v>Counted</v>
      </c>
    </row>
    <row r="140" spans="1:13" x14ac:dyDescent="0.25">
      <c r="A140" s="2" t="s">
        <v>292</v>
      </c>
      <c r="B140" s="3">
        <v>46319</v>
      </c>
      <c r="C140" s="3" t="s">
        <v>849</v>
      </c>
      <c r="D140" s="2" t="s">
        <v>12</v>
      </c>
      <c r="E140" s="2" t="s">
        <v>123</v>
      </c>
      <c r="F140" s="2" t="s">
        <v>95</v>
      </c>
      <c r="G140" s="2" t="s">
        <v>15</v>
      </c>
      <c r="H140" s="2">
        <v>1</v>
      </c>
      <c r="I140" s="4">
        <v>58000</v>
      </c>
      <c r="J140" s="2" t="s">
        <v>22</v>
      </c>
      <c r="K140" s="2" t="s">
        <v>28</v>
      </c>
      <c r="L140" s="4">
        <f t="shared" si="4"/>
        <v>58000</v>
      </c>
      <c r="M140" t="str">
        <f t="shared" si="5"/>
        <v>Counted</v>
      </c>
    </row>
    <row r="141" spans="1:13" x14ac:dyDescent="0.25">
      <c r="A141" s="2" t="s">
        <v>293</v>
      </c>
      <c r="B141" s="3">
        <v>46319</v>
      </c>
      <c r="C141" s="3" t="s">
        <v>849</v>
      </c>
      <c r="D141" s="2" t="s">
        <v>24</v>
      </c>
      <c r="E141" s="2" t="s">
        <v>106</v>
      </c>
      <c r="F141" s="2" t="s">
        <v>32</v>
      </c>
      <c r="G141" s="2" t="s">
        <v>15</v>
      </c>
      <c r="H141" s="2">
        <v>1</v>
      </c>
      <c r="I141" s="4">
        <v>52000</v>
      </c>
      <c r="J141" s="2" t="s">
        <v>22</v>
      </c>
      <c r="K141" s="2" t="s">
        <v>17</v>
      </c>
      <c r="L141" s="4">
        <f t="shared" si="4"/>
        <v>52000</v>
      </c>
      <c r="M141" t="str">
        <f t="shared" si="5"/>
        <v>Counted</v>
      </c>
    </row>
    <row r="142" spans="1:13" x14ac:dyDescent="0.25">
      <c r="A142" s="2" t="s">
        <v>294</v>
      </c>
      <c r="B142" s="3">
        <v>46319</v>
      </c>
      <c r="C142" s="3" t="s">
        <v>849</v>
      </c>
      <c r="D142" s="2" t="s">
        <v>19</v>
      </c>
      <c r="E142" s="2" t="s">
        <v>295</v>
      </c>
      <c r="F142" s="2" t="s">
        <v>52</v>
      </c>
      <c r="G142" s="2" t="s">
        <v>53</v>
      </c>
      <c r="H142" s="2">
        <v>3</v>
      </c>
      <c r="I142" s="4">
        <v>8500</v>
      </c>
      <c r="J142" s="2" t="s">
        <v>22</v>
      </c>
      <c r="K142" s="2" t="s">
        <v>17</v>
      </c>
      <c r="L142" s="4">
        <f t="shared" si="4"/>
        <v>25500</v>
      </c>
      <c r="M142" t="str">
        <f t="shared" si="5"/>
        <v>Counted</v>
      </c>
    </row>
    <row r="143" spans="1:13" x14ac:dyDescent="0.25">
      <c r="A143" s="2" t="s">
        <v>296</v>
      </c>
      <c r="B143" s="3">
        <v>46319</v>
      </c>
      <c r="C143" s="3" t="s">
        <v>849</v>
      </c>
      <c r="D143" s="2" t="s">
        <v>30</v>
      </c>
      <c r="E143" s="2" t="s">
        <v>291</v>
      </c>
      <c r="F143" s="2" t="s">
        <v>114</v>
      </c>
      <c r="G143" s="2" t="s">
        <v>36</v>
      </c>
      <c r="H143" s="2">
        <v>1</v>
      </c>
      <c r="I143" s="4">
        <v>9500</v>
      </c>
      <c r="J143" s="2" t="s">
        <v>92</v>
      </c>
      <c r="K143" s="2" t="s">
        <v>17</v>
      </c>
      <c r="L143" s="4">
        <f t="shared" si="4"/>
        <v>9500</v>
      </c>
      <c r="M143" t="str">
        <f t="shared" si="5"/>
        <v>Counted</v>
      </c>
    </row>
    <row r="144" spans="1:13" x14ac:dyDescent="0.25">
      <c r="A144" s="2" t="s">
        <v>297</v>
      </c>
      <c r="B144" s="3">
        <v>46319</v>
      </c>
      <c r="C144" s="3" t="s">
        <v>849</v>
      </c>
      <c r="D144" s="2" t="s">
        <v>24</v>
      </c>
      <c r="E144" s="2" t="s">
        <v>157</v>
      </c>
      <c r="F144" s="2" t="s">
        <v>26</v>
      </c>
      <c r="G144" s="2" t="s">
        <v>15</v>
      </c>
      <c r="H144" s="2">
        <v>1</v>
      </c>
      <c r="I144" s="4">
        <v>24000</v>
      </c>
      <c r="J144" s="2" t="s">
        <v>27</v>
      </c>
      <c r="K144" s="2" t="s">
        <v>17</v>
      </c>
      <c r="L144" s="4">
        <f t="shared" si="4"/>
        <v>24000</v>
      </c>
      <c r="M144" t="str">
        <f t="shared" si="5"/>
        <v>Counted</v>
      </c>
    </row>
    <row r="145" spans="1:13" x14ac:dyDescent="0.25">
      <c r="A145" s="2" t="s">
        <v>298</v>
      </c>
      <c r="B145" s="3">
        <v>46319</v>
      </c>
      <c r="C145" s="3" t="s">
        <v>849</v>
      </c>
      <c r="D145" s="2" t="s">
        <v>12</v>
      </c>
      <c r="E145" s="2" t="s">
        <v>246</v>
      </c>
      <c r="F145" s="2" t="s">
        <v>68</v>
      </c>
      <c r="G145" s="2" t="s">
        <v>41</v>
      </c>
      <c r="H145" s="2">
        <v>2</v>
      </c>
      <c r="I145" s="4">
        <v>1500</v>
      </c>
      <c r="J145" s="2" t="s">
        <v>37</v>
      </c>
      <c r="K145" s="2" t="s">
        <v>42</v>
      </c>
      <c r="L145" s="4">
        <f t="shared" si="4"/>
        <v>3000</v>
      </c>
      <c r="M145" t="str">
        <f t="shared" si="5"/>
        <v>Not Counted</v>
      </c>
    </row>
    <row r="146" spans="1:13" x14ac:dyDescent="0.25">
      <c r="A146" s="2" t="s">
        <v>299</v>
      </c>
      <c r="B146" s="3">
        <v>46319</v>
      </c>
      <c r="C146" s="3" t="s">
        <v>849</v>
      </c>
      <c r="D146" s="2" t="s">
        <v>24</v>
      </c>
      <c r="E146" s="2" t="s">
        <v>143</v>
      </c>
      <c r="F146" s="2" t="s">
        <v>35</v>
      </c>
      <c r="G146" s="2" t="s">
        <v>36</v>
      </c>
      <c r="H146" s="2">
        <v>1</v>
      </c>
      <c r="I146" s="4">
        <v>12000</v>
      </c>
      <c r="J146" s="2" t="s">
        <v>27</v>
      </c>
      <c r="K146" s="2" t="s">
        <v>42</v>
      </c>
      <c r="L146" s="4">
        <f t="shared" si="4"/>
        <v>12000</v>
      </c>
      <c r="M146" t="str">
        <f t="shared" si="5"/>
        <v>Not Counted</v>
      </c>
    </row>
    <row r="147" spans="1:13" x14ac:dyDescent="0.25">
      <c r="A147" s="2" t="s">
        <v>300</v>
      </c>
      <c r="B147" s="3">
        <v>46320</v>
      </c>
      <c r="C147" s="3" t="s">
        <v>849</v>
      </c>
      <c r="D147" s="2" t="s">
        <v>30</v>
      </c>
      <c r="E147" s="2" t="s">
        <v>119</v>
      </c>
      <c r="F147" s="2" t="s">
        <v>152</v>
      </c>
      <c r="G147" s="2" t="s">
        <v>36</v>
      </c>
      <c r="H147" s="2">
        <v>1</v>
      </c>
      <c r="I147" s="4">
        <v>6500</v>
      </c>
      <c r="J147" s="2" t="s">
        <v>92</v>
      </c>
      <c r="K147" s="2" t="s">
        <v>17</v>
      </c>
      <c r="L147" s="4">
        <f t="shared" si="4"/>
        <v>6500</v>
      </c>
      <c r="M147" t="str">
        <f t="shared" si="5"/>
        <v>Counted</v>
      </c>
    </row>
    <row r="148" spans="1:13" x14ac:dyDescent="0.25">
      <c r="A148" s="2" t="s">
        <v>301</v>
      </c>
      <c r="B148" s="3">
        <v>46320</v>
      </c>
      <c r="C148" s="3" t="s">
        <v>849</v>
      </c>
      <c r="D148" s="2" t="s">
        <v>12</v>
      </c>
      <c r="E148" s="2" t="s">
        <v>302</v>
      </c>
      <c r="F148" s="2" t="s">
        <v>102</v>
      </c>
      <c r="G148" s="2" t="s">
        <v>53</v>
      </c>
      <c r="H148" s="2">
        <v>1</v>
      </c>
      <c r="I148" s="4">
        <v>12500</v>
      </c>
      <c r="J148" s="2" t="s">
        <v>27</v>
      </c>
      <c r="K148" s="2" t="s">
        <v>17</v>
      </c>
      <c r="L148" s="4">
        <f t="shared" si="4"/>
        <v>12500</v>
      </c>
      <c r="M148" t="str">
        <f t="shared" si="5"/>
        <v>Counted</v>
      </c>
    </row>
    <row r="149" spans="1:13" x14ac:dyDescent="0.25">
      <c r="A149" s="2" t="s">
        <v>303</v>
      </c>
      <c r="B149" s="3">
        <v>46320</v>
      </c>
      <c r="C149" s="3" t="s">
        <v>849</v>
      </c>
      <c r="D149" s="2" t="s">
        <v>30</v>
      </c>
      <c r="E149" s="2" t="s">
        <v>304</v>
      </c>
      <c r="F149" s="2" t="s">
        <v>68</v>
      </c>
      <c r="G149" s="2" t="s">
        <v>41</v>
      </c>
      <c r="H149" s="2">
        <v>1</v>
      </c>
      <c r="I149" s="4">
        <v>1500</v>
      </c>
      <c r="J149" s="2" t="s">
        <v>22</v>
      </c>
      <c r="K149" s="2" t="s">
        <v>17</v>
      </c>
      <c r="L149" s="4">
        <f t="shared" si="4"/>
        <v>1500</v>
      </c>
      <c r="M149" t="str">
        <f t="shared" si="5"/>
        <v>Counted</v>
      </c>
    </row>
    <row r="150" spans="1:13" x14ac:dyDescent="0.25">
      <c r="A150" s="2" t="s">
        <v>305</v>
      </c>
      <c r="B150" s="3">
        <v>46320</v>
      </c>
      <c r="C150" s="3" t="s">
        <v>849</v>
      </c>
      <c r="D150" s="2" t="s">
        <v>12</v>
      </c>
      <c r="E150" s="2" t="s">
        <v>291</v>
      </c>
      <c r="F150" s="2" t="s">
        <v>117</v>
      </c>
      <c r="G150" s="2" t="s">
        <v>46</v>
      </c>
      <c r="H150" s="2">
        <v>1</v>
      </c>
      <c r="I150" s="4">
        <v>2800</v>
      </c>
      <c r="J150" s="2" t="s">
        <v>22</v>
      </c>
      <c r="K150" s="2" t="s">
        <v>17</v>
      </c>
      <c r="L150" s="4">
        <f t="shared" si="4"/>
        <v>2800</v>
      </c>
      <c r="M150" t="str">
        <f t="shared" si="5"/>
        <v>Counted</v>
      </c>
    </row>
    <row r="151" spans="1:13" x14ac:dyDescent="0.25">
      <c r="A151" s="2" t="s">
        <v>306</v>
      </c>
      <c r="B151" s="3">
        <v>46320</v>
      </c>
      <c r="C151" s="3" t="s">
        <v>849</v>
      </c>
      <c r="D151" s="2" t="s">
        <v>19</v>
      </c>
      <c r="E151" s="2" t="s">
        <v>307</v>
      </c>
      <c r="F151" s="2" t="s">
        <v>52</v>
      </c>
      <c r="G151" s="2" t="s">
        <v>53</v>
      </c>
      <c r="H151" s="2">
        <v>1</v>
      </c>
      <c r="I151" s="4">
        <v>8500</v>
      </c>
      <c r="J151" s="2" t="s">
        <v>16</v>
      </c>
      <c r="K151" s="2" t="s">
        <v>17</v>
      </c>
      <c r="L151" s="4">
        <f t="shared" si="4"/>
        <v>8500</v>
      </c>
      <c r="M151" t="str">
        <f t="shared" si="5"/>
        <v>Counted</v>
      </c>
    </row>
    <row r="152" spans="1:13" x14ac:dyDescent="0.25">
      <c r="A152" s="2" t="s">
        <v>308</v>
      </c>
      <c r="B152" s="3">
        <v>46320</v>
      </c>
      <c r="C152" s="3" t="s">
        <v>849</v>
      </c>
      <c r="D152" s="2" t="s">
        <v>12</v>
      </c>
      <c r="E152" s="2" t="s">
        <v>309</v>
      </c>
      <c r="F152" s="2" t="s">
        <v>68</v>
      </c>
      <c r="G152" s="2" t="s">
        <v>41</v>
      </c>
      <c r="H152" s="2">
        <v>1</v>
      </c>
      <c r="I152" s="4">
        <v>1500</v>
      </c>
      <c r="J152" s="2" t="s">
        <v>16</v>
      </c>
      <c r="K152" s="2" t="s">
        <v>17</v>
      </c>
      <c r="L152" s="4">
        <f t="shared" si="4"/>
        <v>1500</v>
      </c>
      <c r="M152" t="str">
        <f t="shared" si="5"/>
        <v>Counted</v>
      </c>
    </row>
    <row r="153" spans="1:13" x14ac:dyDescent="0.25">
      <c r="A153" s="2" t="s">
        <v>310</v>
      </c>
      <c r="B153" s="3">
        <v>46320</v>
      </c>
      <c r="C153" s="3" t="s">
        <v>849</v>
      </c>
      <c r="D153" s="2" t="s">
        <v>24</v>
      </c>
      <c r="E153" s="2" t="s">
        <v>311</v>
      </c>
      <c r="F153" s="2" t="s">
        <v>52</v>
      </c>
      <c r="G153" s="2" t="s">
        <v>53</v>
      </c>
      <c r="H153" s="2">
        <v>1</v>
      </c>
      <c r="I153" s="4">
        <v>8500</v>
      </c>
      <c r="J153" s="2" t="s">
        <v>22</v>
      </c>
      <c r="K153" s="2" t="s">
        <v>107</v>
      </c>
      <c r="L153" s="4">
        <f t="shared" si="4"/>
        <v>8500</v>
      </c>
      <c r="M153" t="str">
        <f t="shared" si="5"/>
        <v>Not Counted</v>
      </c>
    </row>
    <row r="154" spans="1:13" x14ac:dyDescent="0.25">
      <c r="A154" s="2" t="s">
        <v>312</v>
      </c>
      <c r="B154" s="3">
        <v>46320</v>
      </c>
      <c r="C154" s="3" t="s">
        <v>849</v>
      </c>
      <c r="D154" s="2" t="s">
        <v>24</v>
      </c>
      <c r="E154" s="2" t="s">
        <v>313</v>
      </c>
      <c r="F154" s="2" t="s">
        <v>21</v>
      </c>
      <c r="G154" s="2" t="s">
        <v>15</v>
      </c>
      <c r="H154" s="2">
        <v>1</v>
      </c>
      <c r="I154" s="4">
        <v>62000</v>
      </c>
      <c r="J154" s="2" t="s">
        <v>27</v>
      </c>
      <c r="K154" s="2" t="s">
        <v>28</v>
      </c>
      <c r="L154" s="4">
        <f t="shared" si="4"/>
        <v>62000</v>
      </c>
      <c r="M154" t="str">
        <f t="shared" si="5"/>
        <v>Counted</v>
      </c>
    </row>
    <row r="155" spans="1:13" x14ac:dyDescent="0.25">
      <c r="A155" s="2" t="s">
        <v>314</v>
      </c>
      <c r="B155" s="3">
        <v>46320</v>
      </c>
      <c r="C155" s="3" t="s">
        <v>849</v>
      </c>
      <c r="D155" s="2" t="s">
        <v>12</v>
      </c>
      <c r="E155" s="2" t="s">
        <v>236</v>
      </c>
      <c r="F155" s="2" t="s">
        <v>114</v>
      </c>
      <c r="G155" s="2" t="s">
        <v>36</v>
      </c>
      <c r="H155" s="2">
        <v>1</v>
      </c>
      <c r="I155" s="4">
        <v>9500</v>
      </c>
      <c r="J155" s="2" t="s">
        <v>27</v>
      </c>
      <c r="K155" s="2" t="s">
        <v>17</v>
      </c>
      <c r="L155" s="4">
        <f t="shared" si="4"/>
        <v>9500</v>
      </c>
      <c r="M155" t="str">
        <f t="shared" si="5"/>
        <v>Counted</v>
      </c>
    </row>
    <row r="156" spans="1:13" x14ac:dyDescent="0.25">
      <c r="A156" s="2" t="s">
        <v>315</v>
      </c>
      <c r="B156" s="3">
        <v>46320</v>
      </c>
      <c r="C156" s="3" t="s">
        <v>849</v>
      </c>
      <c r="D156" s="2" t="s">
        <v>30</v>
      </c>
      <c r="E156" s="2" t="s">
        <v>180</v>
      </c>
      <c r="F156" s="2" t="s">
        <v>40</v>
      </c>
      <c r="G156" s="2" t="s">
        <v>41</v>
      </c>
      <c r="H156" s="2">
        <v>1</v>
      </c>
      <c r="I156" s="4">
        <v>2400</v>
      </c>
      <c r="J156" s="2" t="s">
        <v>16</v>
      </c>
      <c r="K156" s="2" t="s">
        <v>17</v>
      </c>
      <c r="L156" s="4">
        <f t="shared" si="4"/>
        <v>2400</v>
      </c>
      <c r="M156" t="str">
        <f t="shared" si="5"/>
        <v>Counted</v>
      </c>
    </row>
    <row r="157" spans="1:13" x14ac:dyDescent="0.25">
      <c r="A157" s="2" t="s">
        <v>316</v>
      </c>
      <c r="B157" s="3">
        <v>46320</v>
      </c>
      <c r="C157" s="3" t="s">
        <v>849</v>
      </c>
      <c r="D157" s="2" t="s">
        <v>12</v>
      </c>
      <c r="E157" s="2" t="s">
        <v>230</v>
      </c>
      <c r="F157" s="2" t="s">
        <v>152</v>
      </c>
      <c r="G157" s="2" t="s">
        <v>36</v>
      </c>
      <c r="H157" s="2">
        <v>1</v>
      </c>
      <c r="I157" s="4">
        <v>6500</v>
      </c>
      <c r="J157" s="2" t="s">
        <v>22</v>
      </c>
      <c r="K157" s="2" t="s">
        <v>42</v>
      </c>
      <c r="L157" s="4">
        <f t="shared" si="4"/>
        <v>6500</v>
      </c>
      <c r="M157" t="str">
        <f t="shared" si="5"/>
        <v>Not Counted</v>
      </c>
    </row>
    <row r="158" spans="1:13" x14ac:dyDescent="0.25">
      <c r="A158" s="2" t="s">
        <v>317</v>
      </c>
      <c r="B158" s="3">
        <v>46321</v>
      </c>
      <c r="C158" s="3" t="s">
        <v>849</v>
      </c>
      <c r="D158" s="2" t="s">
        <v>19</v>
      </c>
      <c r="E158" s="2" t="s">
        <v>151</v>
      </c>
      <c r="F158" s="2" t="s">
        <v>65</v>
      </c>
      <c r="G158" s="2" t="s">
        <v>36</v>
      </c>
      <c r="H158" s="2">
        <v>1</v>
      </c>
      <c r="I158" s="4">
        <v>28000</v>
      </c>
      <c r="J158" s="2" t="s">
        <v>92</v>
      </c>
      <c r="K158" s="2" t="s">
        <v>17</v>
      </c>
      <c r="L158" s="4">
        <f t="shared" si="4"/>
        <v>28000</v>
      </c>
      <c r="M158" t="str">
        <f t="shared" si="5"/>
        <v>Counted</v>
      </c>
    </row>
    <row r="159" spans="1:13" x14ac:dyDescent="0.25">
      <c r="A159" s="2" t="s">
        <v>318</v>
      </c>
      <c r="B159" s="3">
        <v>46321</v>
      </c>
      <c r="C159" s="3" t="s">
        <v>849</v>
      </c>
      <c r="D159" s="2" t="s">
        <v>24</v>
      </c>
      <c r="E159" s="2" t="s">
        <v>234</v>
      </c>
      <c r="F159" s="2" t="s">
        <v>40</v>
      </c>
      <c r="G159" s="2" t="s">
        <v>41</v>
      </c>
      <c r="H159" s="2">
        <v>1</v>
      </c>
      <c r="I159" s="4">
        <v>2400</v>
      </c>
      <c r="J159" s="2" t="s">
        <v>27</v>
      </c>
      <c r="K159" s="2" t="s">
        <v>17</v>
      </c>
      <c r="L159" s="4">
        <f t="shared" si="4"/>
        <v>2400</v>
      </c>
      <c r="M159" t="str">
        <f t="shared" si="5"/>
        <v>Counted</v>
      </c>
    </row>
    <row r="160" spans="1:13" x14ac:dyDescent="0.25">
      <c r="A160" s="2" t="s">
        <v>319</v>
      </c>
      <c r="B160" s="3">
        <v>46321</v>
      </c>
      <c r="C160" s="3" t="s">
        <v>849</v>
      </c>
      <c r="D160" s="2" t="s">
        <v>12</v>
      </c>
      <c r="E160" s="2" t="s">
        <v>230</v>
      </c>
      <c r="F160" s="2" t="s">
        <v>59</v>
      </c>
      <c r="G160" s="2" t="s">
        <v>53</v>
      </c>
      <c r="H160" s="2">
        <v>2</v>
      </c>
      <c r="I160" s="4">
        <v>3800</v>
      </c>
      <c r="J160" s="2" t="s">
        <v>37</v>
      </c>
      <c r="K160" s="2" t="s">
        <v>17</v>
      </c>
      <c r="L160" s="4">
        <f t="shared" si="4"/>
        <v>7600</v>
      </c>
      <c r="M160" t="str">
        <f t="shared" si="5"/>
        <v>Counted</v>
      </c>
    </row>
    <row r="161" spans="1:13" x14ac:dyDescent="0.25">
      <c r="A161" s="2" t="s">
        <v>320</v>
      </c>
      <c r="B161" s="3">
        <v>46321</v>
      </c>
      <c r="C161" s="3" t="s">
        <v>849</v>
      </c>
      <c r="D161" s="2" t="s">
        <v>12</v>
      </c>
      <c r="E161" s="2" t="s">
        <v>113</v>
      </c>
      <c r="F161" s="2" t="s">
        <v>117</v>
      </c>
      <c r="G161" s="2" t="s">
        <v>46</v>
      </c>
      <c r="H161" s="2">
        <v>1</v>
      </c>
      <c r="I161" s="4">
        <v>2800</v>
      </c>
      <c r="J161" s="2" t="s">
        <v>37</v>
      </c>
      <c r="K161" s="2" t="s">
        <v>28</v>
      </c>
      <c r="L161" s="4">
        <f t="shared" si="4"/>
        <v>2800</v>
      </c>
      <c r="M161" t="str">
        <f t="shared" si="5"/>
        <v>Counted</v>
      </c>
    </row>
    <row r="162" spans="1:13" x14ac:dyDescent="0.25">
      <c r="A162" s="2" t="s">
        <v>321</v>
      </c>
      <c r="B162" s="3">
        <v>46321</v>
      </c>
      <c r="C162" s="3" t="s">
        <v>849</v>
      </c>
      <c r="D162" s="2" t="s">
        <v>30</v>
      </c>
      <c r="E162" s="2" t="s">
        <v>222</v>
      </c>
      <c r="F162" s="2" t="s">
        <v>73</v>
      </c>
      <c r="G162" s="2" t="s">
        <v>15</v>
      </c>
      <c r="H162" s="2">
        <v>1</v>
      </c>
      <c r="I162" s="4">
        <v>18000</v>
      </c>
      <c r="J162" s="2" t="s">
        <v>16</v>
      </c>
      <c r="K162" s="2" t="s">
        <v>17</v>
      </c>
      <c r="L162" s="4">
        <f t="shared" si="4"/>
        <v>18000</v>
      </c>
      <c r="M162" t="str">
        <f t="shared" si="5"/>
        <v>Counted</v>
      </c>
    </row>
    <row r="163" spans="1:13" x14ac:dyDescent="0.25">
      <c r="A163" s="2" t="s">
        <v>322</v>
      </c>
      <c r="B163" s="3">
        <v>46322</v>
      </c>
      <c r="C163" s="3" t="s">
        <v>849</v>
      </c>
      <c r="D163" s="2" t="s">
        <v>24</v>
      </c>
      <c r="E163" s="2" t="s">
        <v>323</v>
      </c>
      <c r="F163" s="2" t="s">
        <v>45</v>
      </c>
      <c r="G163" s="2" t="s">
        <v>46</v>
      </c>
      <c r="H163" s="2">
        <v>1</v>
      </c>
      <c r="I163" s="4">
        <v>3500</v>
      </c>
      <c r="J163" s="2" t="s">
        <v>27</v>
      </c>
      <c r="K163" s="2" t="s">
        <v>28</v>
      </c>
      <c r="L163" s="4">
        <f t="shared" si="4"/>
        <v>3500</v>
      </c>
      <c r="M163" t="str">
        <f t="shared" si="5"/>
        <v>Counted</v>
      </c>
    </row>
    <row r="164" spans="1:13" x14ac:dyDescent="0.25">
      <c r="A164" s="2" t="s">
        <v>324</v>
      </c>
      <c r="B164" s="3">
        <v>46322</v>
      </c>
      <c r="C164" s="3" t="s">
        <v>849</v>
      </c>
      <c r="D164" s="2" t="s">
        <v>30</v>
      </c>
      <c r="E164" s="2" t="s">
        <v>238</v>
      </c>
      <c r="F164" s="2" t="s">
        <v>32</v>
      </c>
      <c r="G164" s="2" t="s">
        <v>15</v>
      </c>
      <c r="H164" s="2">
        <v>1</v>
      </c>
      <c r="I164" s="4">
        <v>52000</v>
      </c>
      <c r="J164" s="2" t="s">
        <v>22</v>
      </c>
      <c r="K164" s="2" t="s">
        <v>17</v>
      </c>
      <c r="L164" s="4">
        <f t="shared" si="4"/>
        <v>52000</v>
      </c>
      <c r="M164" t="str">
        <f t="shared" si="5"/>
        <v>Counted</v>
      </c>
    </row>
    <row r="165" spans="1:13" x14ac:dyDescent="0.25">
      <c r="A165" s="2" t="s">
        <v>325</v>
      </c>
      <c r="B165" s="3">
        <v>46322</v>
      </c>
      <c r="C165" s="3" t="s">
        <v>849</v>
      </c>
      <c r="D165" s="2" t="s">
        <v>12</v>
      </c>
      <c r="E165" s="2" t="s">
        <v>125</v>
      </c>
      <c r="F165" s="2" t="s">
        <v>84</v>
      </c>
      <c r="G165" s="2" t="s">
        <v>53</v>
      </c>
      <c r="H165" s="2">
        <v>1</v>
      </c>
      <c r="I165" s="4">
        <v>22000</v>
      </c>
      <c r="J165" s="2" t="s">
        <v>37</v>
      </c>
      <c r="K165" s="2" t="s">
        <v>17</v>
      </c>
      <c r="L165" s="4">
        <f t="shared" si="4"/>
        <v>22000</v>
      </c>
      <c r="M165" t="str">
        <f t="shared" si="5"/>
        <v>Counted</v>
      </c>
    </row>
    <row r="166" spans="1:13" x14ac:dyDescent="0.25">
      <c r="A166" s="2" t="s">
        <v>326</v>
      </c>
      <c r="B166" s="3">
        <v>46322</v>
      </c>
      <c r="C166" s="3" t="s">
        <v>849</v>
      </c>
      <c r="D166" s="2" t="s">
        <v>19</v>
      </c>
      <c r="E166" s="2" t="s">
        <v>327</v>
      </c>
      <c r="F166" s="2" t="s">
        <v>62</v>
      </c>
      <c r="G166" s="2" t="s">
        <v>41</v>
      </c>
      <c r="H166" s="2">
        <v>2</v>
      </c>
      <c r="I166" s="4">
        <v>2200</v>
      </c>
      <c r="J166" s="2" t="s">
        <v>37</v>
      </c>
      <c r="K166" s="2" t="s">
        <v>17</v>
      </c>
      <c r="L166" s="4">
        <f t="shared" si="4"/>
        <v>4400</v>
      </c>
      <c r="M166" t="str">
        <f t="shared" si="5"/>
        <v>Counted</v>
      </c>
    </row>
    <row r="167" spans="1:13" x14ac:dyDescent="0.25">
      <c r="A167" s="2" t="s">
        <v>328</v>
      </c>
      <c r="B167" s="3">
        <v>46322</v>
      </c>
      <c r="C167" s="3" t="s">
        <v>849</v>
      </c>
      <c r="D167" s="2" t="s">
        <v>24</v>
      </c>
      <c r="E167" s="2" t="s">
        <v>167</v>
      </c>
      <c r="F167" s="2" t="s">
        <v>56</v>
      </c>
      <c r="G167" s="2" t="s">
        <v>46</v>
      </c>
      <c r="H167" s="2">
        <v>3</v>
      </c>
      <c r="I167" s="4">
        <v>7500</v>
      </c>
      <c r="J167" s="2" t="s">
        <v>22</v>
      </c>
      <c r="K167" s="2" t="s">
        <v>17</v>
      </c>
      <c r="L167" s="4">
        <f t="shared" si="4"/>
        <v>22500</v>
      </c>
      <c r="M167" t="str">
        <f t="shared" si="5"/>
        <v>Counted</v>
      </c>
    </row>
    <row r="168" spans="1:13" x14ac:dyDescent="0.25">
      <c r="A168" s="2" t="s">
        <v>329</v>
      </c>
      <c r="B168" s="3">
        <v>46323</v>
      </c>
      <c r="C168" s="3" t="s">
        <v>849</v>
      </c>
      <c r="D168" s="2" t="s">
        <v>24</v>
      </c>
      <c r="E168" s="2" t="s">
        <v>211</v>
      </c>
      <c r="F168" s="2" t="s">
        <v>191</v>
      </c>
      <c r="G168" s="2" t="s">
        <v>41</v>
      </c>
      <c r="H168" s="2">
        <v>1</v>
      </c>
      <c r="I168" s="4">
        <v>1800</v>
      </c>
      <c r="J168" s="2" t="s">
        <v>92</v>
      </c>
      <c r="K168" s="2" t="s">
        <v>17</v>
      </c>
      <c r="L168" s="4">
        <f t="shared" si="4"/>
        <v>1800</v>
      </c>
      <c r="M168" t="str">
        <f t="shared" si="5"/>
        <v>Counted</v>
      </c>
    </row>
    <row r="169" spans="1:13" x14ac:dyDescent="0.25">
      <c r="A169" s="2" t="s">
        <v>330</v>
      </c>
      <c r="B169" s="3">
        <v>46323</v>
      </c>
      <c r="C169" s="3" t="s">
        <v>849</v>
      </c>
      <c r="D169" s="2" t="s">
        <v>19</v>
      </c>
      <c r="E169" s="2" t="s">
        <v>219</v>
      </c>
      <c r="F169" s="2" t="s">
        <v>95</v>
      </c>
      <c r="G169" s="2" t="s">
        <v>15</v>
      </c>
      <c r="H169" s="2">
        <v>1</v>
      </c>
      <c r="I169" s="4">
        <v>58000</v>
      </c>
      <c r="J169" s="2" t="s">
        <v>22</v>
      </c>
      <c r="K169" s="2" t="s">
        <v>42</v>
      </c>
      <c r="L169" s="4">
        <f t="shared" si="4"/>
        <v>58000</v>
      </c>
      <c r="M169" t="str">
        <f t="shared" si="5"/>
        <v>Not Counted</v>
      </c>
    </row>
    <row r="170" spans="1:13" x14ac:dyDescent="0.25">
      <c r="A170" s="2" t="s">
        <v>331</v>
      </c>
      <c r="B170" s="3">
        <v>46324</v>
      </c>
      <c r="C170" s="3" t="s">
        <v>849</v>
      </c>
      <c r="D170" s="2" t="s">
        <v>12</v>
      </c>
      <c r="E170" s="2" t="s">
        <v>280</v>
      </c>
      <c r="F170" s="2" t="s">
        <v>95</v>
      </c>
      <c r="G170" s="2" t="s">
        <v>15</v>
      </c>
      <c r="H170" s="2">
        <v>1</v>
      </c>
      <c r="I170" s="4">
        <v>58000</v>
      </c>
      <c r="J170" s="2" t="s">
        <v>92</v>
      </c>
      <c r="K170" s="2" t="s">
        <v>17</v>
      </c>
      <c r="L170" s="4">
        <f t="shared" si="4"/>
        <v>58000</v>
      </c>
      <c r="M170" t="str">
        <f t="shared" si="5"/>
        <v>Counted</v>
      </c>
    </row>
    <row r="171" spans="1:13" x14ac:dyDescent="0.25">
      <c r="A171" s="2" t="s">
        <v>332</v>
      </c>
      <c r="B171" s="3">
        <v>46324</v>
      </c>
      <c r="C171" s="3" t="s">
        <v>849</v>
      </c>
      <c r="D171" s="2" t="s">
        <v>12</v>
      </c>
      <c r="E171" s="2" t="s">
        <v>333</v>
      </c>
      <c r="F171" s="2" t="s">
        <v>117</v>
      </c>
      <c r="G171" s="2" t="s">
        <v>46</v>
      </c>
      <c r="H171" s="2">
        <v>1</v>
      </c>
      <c r="I171" s="4">
        <v>2800</v>
      </c>
      <c r="J171" s="2" t="s">
        <v>37</v>
      </c>
      <c r="K171" s="2" t="s">
        <v>17</v>
      </c>
      <c r="L171" s="4">
        <f t="shared" si="4"/>
        <v>2800</v>
      </c>
      <c r="M171" t="str">
        <f t="shared" si="5"/>
        <v>Counted</v>
      </c>
    </row>
    <row r="172" spans="1:13" x14ac:dyDescent="0.25">
      <c r="A172" s="2" t="s">
        <v>334</v>
      </c>
      <c r="B172" s="3">
        <v>46324</v>
      </c>
      <c r="C172" s="3" t="s">
        <v>849</v>
      </c>
      <c r="D172" s="2" t="s">
        <v>19</v>
      </c>
      <c r="E172" s="2" t="s">
        <v>180</v>
      </c>
      <c r="F172" s="2" t="s">
        <v>243</v>
      </c>
      <c r="G172" s="2" t="s">
        <v>15</v>
      </c>
      <c r="H172" s="2">
        <v>1</v>
      </c>
      <c r="I172" s="4">
        <v>9500</v>
      </c>
      <c r="J172" s="2" t="s">
        <v>22</v>
      </c>
      <c r="K172" s="2" t="s">
        <v>17</v>
      </c>
      <c r="L172" s="4">
        <f t="shared" si="4"/>
        <v>9500</v>
      </c>
      <c r="M172" t="str">
        <f t="shared" si="5"/>
        <v>Counted</v>
      </c>
    </row>
    <row r="173" spans="1:13" x14ac:dyDescent="0.25">
      <c r="A173" s="2" t="s">
        <v>335</v>
      </c>
      <c r="B173" s="3">
        <v>46324</v>
      </c>
      <c r="C173" s="3" t="s">
        <v>849</v>
      </c>
      <c r="D173" s="2" t="s">
        <v>24</v>
      </c>
      <c r="E173" s="2" t="s">
        <v>72</v>
      </c>
      <c r="F173" s="2" t="s">
        <v>26</v>
      </c>
      <c r="G173" s="2" t="s">
        <v>15</v>
      </c>
      <c r="H173" s="2">
        <v>1</v>
      </c>
      <c r="I173" s="4">
        <v>24000</v>
      </c>
      <c r="J173" s="2" t="s">
        <v>22</v>
      </c>
      <c r="K173" s="2" t="s">
        <v>17</v>
      </c>
      <c r="L173" s="4">
        <f t="shared" si="4"/>
        <v>24000</v>
      </c>
      <c r="M173" t="str">
        <f t="shared" si="5"/>
        <v>Counted</v>
      </c>
    </row>
    <row r="174" spans="1:13" x14ac:dyDescent="0.25">
      <c r="A174" s="2" t="s">
        <v>336</v>
      </c>
      <c r="B174" s="3">
        <v>46324</v>
      </c>
      <c r="C174" s="3" t="s">
        <v>849</v>
      </c>
      <c r="D174" s="2" t="s">
        <v>19</v>
      </c>
      <c r="E174" s="2" t="s">
        <v>178</v>
      </c>
      <c r="F174" s="2" t="s">
        <v>21</v>
      </c>
      <c r="G174" s="2" t="s">
        <v>15</v>
      </c>
      <c r="H174" s="2">
        <v>1</v>
      </c>
      <c r="I174" s="4">
        <v>62000</v>
      </c>
      <c r="J174" s="2" t="s">
        <v>16</v>
      </c>
      <c r="K174" s="2" t="s">
        <v>17</v>
      </c>
      <c r="L174" s="4">
        <f t="shared" si="4"/>
        <v>62000</v>
      </c>
      <c r="M174" t="str">
        <f t="shared" si="5"/>
        <v>Counted</v>
      </c>
    </row>
    <row r="175" spans="1:13" x14ac:dyDescent="0.25">
      <c r="A175" s="2" t="s">
        <v>337</v>
      </c>
      <c r="B175" s="3">
        <v>46324</v>
      </c>
      <c r="C175" s="3" t="s">
        <v>849</v>
      </c>
      <c r="D175" s="2" t="s">
        <v>24</v>
      </c>
      <c r="E175" s="2" t="s">
        <v>79</v>
      </c>
      <c r="F175" s="2" t="s">
        <v>152</v>
      </c>
      <c r="G175" s="2" t="s">
        <v>36</v>
      </c>
      <c r="H175" s="2">
        <v>1</v>
      </c>
      <c r="I175" s="4">
        <v>6500</v>
      </c>
      <c r="J175" s="2" t="s">
        <v>16</v>
      </c>
      <c r="K175" s="2" t="s">
        <v>17</v>
      </c>
      <c r="L175" s="4">
        <f t="shared" si="4"/>
        <v>6500</v>
      </c>
      <c r="M175" t="str">
        <f t="shared" si="5"/>
        <v>Counted</v>
      </c>
    </row>
    <row r="176" spans="1:13" x14ac:dyDescent="0.25">
      <c r="A176" s="2" t="s">
        <v>338</v>
      </c>
      <c r="B176" s="3">
        <v>46324</v>
      </c>
      <c r="C176" s="3" t="s">
        <v>849</v>
      </c>
      <c r="D176" s="2" t="s">
        <v>24</v>
      </c>
      <c r="E176" s="2" t="s">
        <v>339</v>
      </c>
      <c r="F176" s="2" t="s">
        <v>87</v>
      </c>
      <c r="G176" s="2" t="s">
        <v>46</v>
      </c>
      <c r="H176" s="2">
        <v>1</v>
      </c>
      <c r="I176" s="4">
        <v>1600</v>
      </c>
      <c r="J176" s="2" t="s">
        <v>22</v>
      </c>
      <c r="K176" s="2" t="s">
        <v>17</v>
      </c>
      <c r="L176" s="4">
        <f t="shared" si="4"/>
        <v>1600</v>
      </c>
      <c r="M176" t="str">
        <f t="shared" si="5"/>
        <v>Counted</v>
      </c>
    </row>
    <row r="177" spans="1:13" x14ac:dyDescent="0.25">
      <c r="A177" s="2" t="s">
        <v>340</v>
      </c>
      <c r="B177" s="3">
        <v>46324</v>
      </c>
      <c r="C177" s="3" t="s">
        <v>849</v>
      </c>
      <c r="D177" s="2" t="s">
        <v>30</v>
      </c>
      <c r="E177" s="2" t="s">
        <v>341</v>
      </c>
      <c r="F177" s="2" t="s">
        <v>40</v>
      </c>
      <c r="G177" s="2" t="s">
        <v>41</v>
      </c>
      <c r="H177" s="2">
        <v>1</v>
      </c>
      <c r="I177" s="4">
        <v>2400</v>
      </c>
      <c r="J177" s="2" t="s">
        <v>22</v>
      </c>
      <c r="K177" s="2" t="s">
        <v>17</v>
      </c>
      <c r="L177" s="4">
        <f t="shared" si="4"/>
        <v>2400</v>
      </c>
      <c r="M177" t="str">
        <f t="shared" si="5"/>
        <v>Counted</v>
      </c>
    </row>
    <row r="178" spans="1:13" x14ac:dyDescent="0.25">
      <c r="A178" s="2" t="s">
        <v>342</v>
      </c>
      <c r="B178" s="3">
        <v>46324</v>
      </c>
      <c r="C178" s="3" t="s">
        <v>849</v>
      </c>
      <c r="D178" s="2" t="s">
        <v>19</v>
      </c>
      <c r="E178" s="2" t="s">
        <v>274</v>
      </c>
      <c r="F178" s="2" t="s">
        <v>152</v>
      </c>
      <c r="G178" s="2" t="s">
        <v>36</v>
      </c>
      <c r="H178" s="2">
        <v>1</v>
      </c>
      <c r="I178" s="4">
        <v>6500</v>
      </c>
      <c r="J178" s="2" t="s">
        <v>92</v>
      </c>
      <c r="K178" s="2" t="s">
        <v>107</v>
      </c>
      <c r="L178" s="4">
        <f t="shared" si="4"/>
        <v>6500</v>
      </c>
      <c r="M178" t="str">
        <f t="shared" si="5"/>
        <v>Not Counted</v>
      </c>
    </row>
    <row r="179" spans="1:13" x14ac:dyDescent="0.25">
      <c r="A179" s="2" t="s">
        <v>343</v>
      </c>
      <c r="B179" s="3">
        <v>46325</v>
      </c>
      <c r="C179" s="3" t="s">
        <v>849</v>
      </c>
      <c r="D179" s="2" t="s">
        <v>24</v>
      </c>
      <c r="E179" s="2" t="s">
        <v>271</v>
      </c>
      <c r="F179" s="2" t="s">
        <v>114</v>
      </c>
      <c r="G179" s="2" t="s">
        <v>36</v>
      </c>
      <c r="H179" s="2">
        <v>1</v>
      </c>
      <c r="I179" s="4">
        <v>9500</v>
      </c>
      <c r="J179" s="2" t="s">
        <v>92</v>
      </c>
      <c r="K179" s="2" t="s">
        <v>42</v>
      </c>
      <c r="L179" s="4">
        <f t="shared" si="4"/>
        <v>9500</v>
      </c>
      <c r="M179" t="str">
        <f t="shared" si="5"/>
        <v>Not Counted</v>
      </c>
    </row>
    <row r="180" spans="1:13" x14ac:dyDescent="0.25">
      <c r="A180" s="2" t="s">
        <v>344</v>
      </c>
      <c r="B180" s="3">
        <v>46325</v>
      </c>
      <c r="C180" s="3" t="s">
        <v>849</v>
      </c>
      <c r="D180" s="2" t="s">
        <v>12</v>
      </c>
      <c r="E180" s="2" t="s">
        <v>206</v>
      </c>
      <c r="F180" s="2" t="s">
        <v>102</v>
      </c>
      <c r="G180" s="2" t="s">
        <v>53</v>
      </c>
      <c r="H180" s="2">
        <v>2</v>
      </c>
      <c r="I180" s="4">
        <v>12500</v>
      </c>
      <c r="J180" s="2" t="s">
        <v>92</v>
      </c>
      <c r="K180" s="2" t="s">
        <v>17</v>
      </c>
      <c r="L180" s="4">
        <f t="shared" si="4"/>
        <v>25000</v>
      </c>
      <c r="M180" t="str">
        <f t="shared" si="5"/>
        <v>Counted</v>
      </c>
    </row>
    <row r="181" spans="1:13" x14ac:dyDescent="0.25">
      <c r="A181" s="2" t="s">
        <v>345</v>
      </c>
      <c r="B181" s="3">
        <v>46325</v>
      </c>
      <c r="C181" s="3" t="s">
        <v>849</v>
      </c>
      <c r="D181" s="2" t="s">
        <v>30</v>
      </c>
      <c r="E181" s="2" t="s">
        <v>313</v>
      </c>
      <c r="F181" s="2" t="s">
        <v>14</v>
      </c>
      <c r="G181" s="2" t="s">
        <v>15</v>
      </c>
      <c r="H181" s="2">
        <v>1</v>
      </c>
      <c r="I181" s="4">
        <v>65000</v>
      </c>
      <c r="J181" s="2" t="s">
        <v>22</v>
      </c>
      <c r="K181" s="2" t="s">
        <v>28</v>
      </c>
      <c r="L181" s="4">
        <f t="shared" si="4"/>
        <v>65000</v>
      </c>
      <c r="M181" t="str">
        <f t="shared" si="5"/>
        <v>Counted</v>
      </c>
    </row>
    <row r="182" spans="1:13" x14ac:dyDescent="0.25">
      <c r="A182" s="2" t="s">
        <v>346</v>
      </c>
      <c r="B182" s="3">
        <v>46325</v>
      </c>
      <c r="C182" s="3" t="s">
        <v>849</v>
      </c>
      <c r="D182" s="2" t="s">
        <v>30</v>
      </c>
      <c r="E182" s="2" t="s">
        <v>291</v>
      </c>
      <c r="F182" s="2" t="s">
        <v>243</v>
      </c>
      <c r="G182" s="2" t="s">
        <v>15</v>
      </c>
      <c r="H182" s="2">
        <v>1</v>
      </c>
      <c r="I182" s="4">
        <v>9500</v>
      </c>
      <c r="J182" s="2" t="s">
        <v>22</v>
      </c>
      <c r="K182" s="2" t="s">
        <v>42</v>
      </c>
      <c r="L182" s="4">
        <f t="shared" si="4"/>
        <v>9500</v>
      </c>
      <c r="M182" t="str">
        <f t="shared" si="5"/>
        <v>Not Counted</v>
      </c>
    </row>
    <row r="183" spans="1:13" x14ac:dyDescent="0.25">
      <c r="A183" s="2" t="s">
        <v>347</v>
      </c>
      <c r="B183" s="3">
        <v>46325</v>
      </c>
      <c r="C183" s="3" t="s">
        <v>849</v>
      </c>
      <c r="D183" s="2" t="s">
        <v>12</v>
      </c>
      <c r="E183" s="2" t="s">
        <v>307</v>
      </c>
      <c r="F183" s="2" t="s">
        <v>26</v>
      </c>
      <c r="G183" s="2" t="s">
        <v>15</v>
      </c>
      <c r="H183" s="2">
        <v>1</v>
      </c>
      <c r="I183" s="4">
        <v>24000</v>
      </c>
      <c r="J183" s="2" t="s">
        <v>22</v>
      </c>
      <c r="K183" s="2" t="s">
        <v>28</v>
      </c>
      <c r="L183" s="4">
        <f t="shared" si="4"/>
        <v>24000</v>
      </c>
      <c r="M183" t="str">
        <f t="shared" si="5"/>
        <v>Counted</v>
      </c>
    </row>
    <row r="184" spans="1:13" x14ac:dyDescent="0.25">
      <c r="A184" s="2" t="s">
        <v>348</v>
      </c>
      <c r="B184" s="3">
        <v>46325</v>
      </c>
      <c r="C184" s="3" t="s">
        <v>849</v>
      </c>
      <c r="D184" s="2" t="s">
        <v>30</v>
      </c>
      <c r="E184" s="2" t="s">
        <v>349</v>
      </c>
      <c r="F184" s="2" t="s">
        <v>32</v>
      </c>
      <c r="G184" s="2" t="s">
        <v>15</v>
      </c>
      <c r="H184" s="2">
        <v>1</v>
      </c>
      <c r="I184" s="4">
        <v>52000</v>
      </c>
      <c r="J184" s="2" t="s">
        <v>22</v>
      </c>
      <c r="K184" s="2" t="s">
        <v>28</v>
      </c>
      <c r="L184" s="4">
        <f t="shared" si="4"/>
        <v>52000</v>
      </c>
      <c r="M184" t="str">
        <f t="shared" si="5"/>
        <v>Counted</v>
      </c>
    </row>
    <row r="185" spans="1:13" x14ac:dyDescent="0.25">
      <c r="A185" s="2" t="s">
        <v>350</v>
      </c>
      <c r="B185" s="3">
        <v>46326</v>
      </c>
      <c r="C185" s="3" t="s">
        <v>849</v>
      </c>
      <c r="D185" s="2" t="s">
        <v>30</v>
      </c>
      <c r="E185" s="2" t="s">
        <v>295</v>
      </c>
      <c r="F185" s="2" t="s">
        <v>87</v>
      </c>
      <c r="G185" s="2" t="s">
        <v>46</v>
      </c>
      <c r="H185" s="2">
        <v>2</v>
      </c>
      <c r="I185" s="4">
        <v>1600</v>
      </c>
      <c r="J185" s="2" t="s">
        <v>16</v>
      </c>
      <c r="K185" s="2" t="s">
        <v>17</v>
      </c>
      <c r="L185" s="4">
        <f t="shared" si="4"/>
        <v>3200</v>
      </c>
      <c r="M185" t="str">
        <f t="shared" si="5"/>
        <v>Counted</v>
      </c>
    </row>
    <row r="186" spans="1:13" x14ac:dyDescent="0.25">
      <c r="A186" s="2" t="s">
        <v>351</v>
      </c>
      <c r="B186" s="3">
        <v>46326</v>
      </c>
      <c r="C186" s="3" t="s">
        <v>849</v>
      </c>
      <c r="D186" s="2" t="s">
        <v>19</v>
      </c>
      <c r="E186" s="2" t="s">
        <v>64</v>
      </c>
      <c r="F186" s="2" t="s">
        <v>52</v>
      </c>
      <c r="G186" s="2" t="s">
        <v>53</v>
      </c>
      <c r="H186" s="2">
        <v>2</v>
      </c>
      <c r="I186" s="4">
        <v>8500</v>
      </c>
      <c r="J186" s="2" t="s">
        <v>22</v>
      </c>
      <c r="K186" s="2" t="s">
        <v>28</v>
      </c>
      <c r="L186" s="4">
        <f t="shared" si="4"/>
        <v>17000</v>
      </c>
      <c r="M186" t="str">
        <f t="shared" si="5"/>
        <v>Counted</v>
      </c>
    </row>
    <row r="187" spans="1:13" x14ac:dyDescent="0.25">
      <c r="A187" s="2" t="s">
        <v>352</v>
      </c>
      <c r="B187" s="3">
        <v>46326</v>
      </c>
      <c r="C187" s="3" t="s">
        <v>849</v>
      </c>
      <c r="D187" s="2" t="s">
        <v>30</v>
      </c>
      <c r="E187" s="2" t="s">
        <v>111</v>
      </c>
      <c r="F187" s="2" t="s">
        <v>62</v>
      </c>
      <c r="G187" s="2" t="s">
        <v>41</v>
      </c>
      <c r="H187" s="2">
        <v>1</v>
      </c>
      <c r="I187" s="4">
        <v>2200</v>
      </c>
      <c r="J187" s="2" t="s">
        <v>37</v>
      </c>
      <c r="K187" s="2" t="s">
        <v>28</v>
      </c>
      <c r="L187" s="4">
        <f t="shared" si="4"/>
        <v>2200</v>
      </c>
      <c r="M187" t="str">
        <f t="shared" si="5"/>
        <v>Counted</v>
      </c>
    </row>
    <row r="188" spans="1:13" x14ac:dyDescent="0.25">
      <c r="A188" s="2" t="s">
        <v>353</v>
      </c>
      <c r="B188" s="3">
        <v>46326</v>
      </c>
      <c r="C188" s="3" t="s">
        <v>849</v>
      </c>
      <c r="D188" s="2" t="s">
        <v>19</v>
      </c>
      <c r="E188" s="2" t="s">
        <v>94</v>
      </c>
      <c r="F188" s="2" t="s">
        <v>243</v>
      </c>
      <c r="G188" s="2" t="s">
        <v>15</v>
      </c>
      <c r="H188" s="2">
        <v>1</v>
      </c>
      <c r="I188" s="4">
        <v>9500</v>
      </c>
      <c r="J188" s="2" t="s">
        <v>27</v>
      </c>
      <c r="K188" s="2" t="s">
        <v>28</v>
      </c>
      <c r="L188" s="4">
        <f t="shared" si="4"/>
        <v>9500</v>
      </c>
      <c r="M188" t="str">
        <f t="shared" si="5"/>
        <v>Counted</v>
      </c>
    </row>
    <row r="189" spans="1:13" x14ac:dyDescent="0.25">
      <c r="A189" s="2" t="s">
        <v>354</v>
      </c>
      <c r="B189" s="3">
        <v>46326</v>
      </c>
      <c r="C189" s="3" t="s">
        <v>849</v>
      </c>
      <c r="D189" s="2" t="s">
        <v>30</v>
      </c>
      <c r="E189" s="2" t="s">
        <v>355</v>
      </c>
      <c r="F189" s="2" t="s">
        <v>45</v>
      </c>
      <c r="G189" s="2" t="s">
        <v>46</v>
      </c>
      <c r="H189" s="2">
        <v>1</v>
      </c>
      <c r="I189" s="4">
        <v>3500</v>
      </c>
      <c r="J189" s="2" t="s">
        <v>27</v>
      </c>
      <c r="K189" s="2" t="s">
        <v>17</v>
      </c>
      <c r="L189" s="4">
        <f t="shared" si="4"/>
        <v>3500</v>
      </c>
      <c r="M189" t="str">
        <f t="shared" si="5"/>
        <v>Counted</v>
      </c>
    </row>
    <row r="190" spans="1:13" x14ac:dyDescent="0.25">
      <c r="A190" s="2" t="s">
        <v>356</v>
      </c>
      <c r="B190" s="3">
        <v>46326</v>
      </c>
      <c r="C190" s="3" t="s">
        <v>849</v>
      </c>
      <c r="D190" s="2" t="s">
        <v>19</v>
      </c>
      <c r="E190" s="2" t="s">
        <v>357</v>
      </c>
      <c r="F190" s="2" t="s">
        <v>35</v>
      </c>
      <c r="G190" s="2" t="s">
        <v>36</v>
      </c>
      <c r="H190" s="2">
        <v>1</v>
      </c>
      <c r="I190" s="4">
        <v>12000</v>
      </c>
      <c r="J190" s="2" t="s">
        <v>16</v>
      </c>
      <c r="K190" s="2" t="s">
        <v>17</v>
      </c>
      <c r="L190" s="4">
        <f t="shared" si="4"/>
        <v>12000</v>
      </c>
      <c r="M190" t="str">
        <f t="shared" si="5"/>
        <v>Counted</v>
      </c>
    </row>
    <row r="191" spans="1:13" x14ac:dyDescent="0.25">
      <c r="A191" s="2" t="s">
        <v>358</v>
      </c>
      <c r="B191" s="3">
        <v>46327</v>
      </c>
      <c r="C191" s="3" t="s">
        <v>850</v>
      </c>
      <c r="D191" s="2" t="s">
        <v>24</v>
      </c>
      <c r="E191" s="2" t="s">
        <v>359</v>
      </c>
      <c r="F191" s="2" t="s">
        <v>45</v>
      </c>
      <c r="G191" s="2" t="s">
        <v>46</v>
      </c>
      <c r="H191" s="2">
        <v>2</v>
      </c>
      <c r="I191" s="4">
        <v>3500</v>
      </c>
      <c r="J191" s="2" t="s">
        <v>27</v>
      </c>
      <c r="K191" s="2" t="s">
        <v>17</v>
      </c>
      <c r="L191" s="4">
        <f t="shared" si="4"/>
        <v>7000</v>
      </c>
      <c r="M191" t="str">
        <f t="shared" si="5"/>
        <v>Counted</v>
      </c>
    </row>
    <row r="192" spans="1:13" x14ac:dyDescent="0.25">
      <c r="A192" s="2" t="s">
        <v>360</v>
      </c>
      <c r="B192" s="3">
        <v>46327</v>
      </c>
      <c r="C192" s="3" t="s">
        <v>850</v>
      </c>
      <c r="D192" s="2" t="s">
        <v>19</v>
      </c>
      <c r="E192" s="2" t="s">
        <v>302</v>
      </c>
      <c r="F192" s="2" t="s">
        <v>45</v>
      </c>
      <c r="G192" s="2" t="s">
        <v>46</v>
      </c>
      <c r="H192" s="2">
        <v>1</v>
      </c>
      <c r="I192" s="4">
        <v>3500</v>
      </c>
      <c r="J192" s="2" t="s">
        <v>37</v>
      </c>
      <c r="K192" s="2" t="s">
        <v>17</v>
      </c>
      <c r="L192" s="4">
        <f t="shared" si="4"/>
        <v>3500</v>
      </c>
      <c r="M192" t="str">
        <f t="shared" si="5"/>
        <v>Counted</v>
      </c>
    </row>
    <row r="193" spans="1:13" x14ac:dyDescent="0.25">
      <c r="A193" s="2" t="s">
        <v>361</v>
      </c>
      <c r="B193" s="3">
        <v>46327</v>
      </c>
      <c r="C193" s="3" t="s">
        <v>850</v>
      </c>
      <c r="D193" s="2" t="s">
        <v>12</v>
      </c>
      <c r="E193" s="2" t="s">
        <v>77</v>
      </c>
      <c r="F193" s="2" t="s">
        <v>62</v>
      </c>
      <c r="G193" s="2" t="s">
        <v>41</v>
      </c>
      <c r="H193" s="2">
        <v>2</v>
      </c>
      <c r="I193" s="4">
        <v>2200</v>
      </c>
      <c r="J193" s="2" t="s">
        <v>22</v>
      </c>
      <c r="K193" s="2" t="s">
        <v>17</v>
      </c>
      <c r="L193" s="4">
        <f t="shared" si="4"/>
        <v>4400</v>
      </c>
      <c r="M193" t="str">
        <f t="shared" si="5"/>
        <v>Counted</v>
      </c>
    </row>
    <row r="194" spans="1:13" x14ac:dyDescent="0.25">
      <c r="A194" s="2" t="s">
        <v>362</v>
      </c>
      <c r="B194" s="3">
        <v>46327</v>
      </c>
      <c r="C194" s="3" t="s">
        <v>850</v>
      </c>
      <c r="D194" s="2" t="s">
        <v>12</v>
      </c>
      <c r="E194" s="2" t="s">
        <v>357</v>
      </c>
      <c r="F194" s="2" t="s">
        <v>73</v>
      </c>
      <c r="G194" s="2" t="s">
        <v>15</v>
      </c>
      <c r="H194" s="2">
        <v>1</v>
      </c>
      <c r="I194" s="4">
        <v>18000</v>
      </c>
      <c r="J194" s="2" t="s">
        <v>22</v>
      </c>
      <c r="K194" s="2" t="s">
        <v>17</v>
      </c>
      <c r="L194" s="4">
        <f t="shared" ref="L194:L257" si="6">H194*I194</f>
        <v>18000</v>
      </c>
      <c r="M194" t="str">
        <f t="shared" si="5"/>
        <v>Counted</v>
      </c>
    </row>
    <row r="195" spans="1:13" x14ac:dyDescent="0.25">
      <c r="A195" s="2" t="s">
        <v>363</v>
      </c>
      <c r="B195" s="3">
        <v>46327</v>
      </c>
      <c r="C195" s="3" t="s">
        <v>850</v>
      </c>
      <c r="D195" s="2" t="s">
        <v>24</v>
      </c>
      <c r="E195" s="2" t="s">
        <v>364</v>
      </c>
      <c r="F195" s="2" t="s">
        <v>26</v>
      </c>
      <c r="G195" s="2" t="s">
        <v>15</v>
      </c>
      <c r="H195" s="2">
        <v>1</v>
      </c>
      <c r="I195" s="4">
        <v>24000</v>
      </c>
      <c r="J195" s="2" t="s">
        <v>22</v>
      </c>
      <c r="K195" s="2" t="s">
        <v>17</v>
      </c>
      <c r="L195" s="4">
        <f t="shared" si="6"/>
        <v>24000</v>
      </c>
      <c r="M195" t="str">
        <f t="shared" ref="M195:M258" si="7">IF(OR(K195="Cancelled",K195="Returned"),"Not Counted","Counted")</f>
        <v>Counted</v>
      </c>
    </row>
    <row r="196" spans="1:13" x14ac:dyDescent="0.25">
      <c r="A196" s="2" t="s">
        <v>365</v>
      </c>
      <c r="B196" s="3">
        <v>46327</v>
      </c>
      <c r="C196" s="3" t="s">
        <v>850</v>
      </c>
      <c r="D196" s="2" t="s">
        <v>30</v>
      </c>
      <c r="E196" s="2" t="s">
        <v>366</v>
      </c>
      <c r="F196" s="2" t="s">
        <v>191</v>
      </c>
      <c r="G196" s="2" t="s">
        <v>41</v>
      </c>
      <c r="H196" s="2">
        <v>1</v>
      </c>
      <c r="I196" s="4">
        <v>1800</v>
      </c>
      <c r="J196" s="2" t="s">
        <v>92</v>
      </c>
      <c r="K196" s="2" t="s">
        <v>17</v>
      </c>
      <c r="L196" s="4">
        <f t="shared" si="6"/>
        <v>1800</v>
      </c>
      <c r="M196" t="str">
        <f t="shared" si="7"/>
        <v>Counted</v>
      </c>
    </row>
    <row r="197" spans="1:13" x14ac:dyDescent="0.25">
      <c r="A197" s="2" t="s">
        <v>367</v>
      </c>
      <c r="B197" s="3">
        <v>46327</v>
      </c>
      <c r="C197" s="3" t="s">
        <v>850</v>
      </c>
      <c r="D197" s="2" t="s">
        <v>12</v>
      </c>
      <c r="E197" s="2" t="s">
        <v>238</v>
      </c>
      <c r="F197" s="2" t="s">
        <v>14</v>
      </c>
      <c r="G197" s="2" t="s">
        <v>15</v>
      </c>
      <c r="H197" s="2">
        <v>2</v>
      </c>
      <c r="I197" s="4">
        <v>65000</v>
      </c>
      <c r="J197" s="2" t="s">
        <v>22</v>
      </c>
      <c r="K197" s="2" t="s">
        <v>17</v>
      </c>
      <c r="L197" s="4">
        <f t="shared" si="6"/>
        <v>130000</v>
      </c>
      <c r="M197" t="str">
        <f t="shared" si="7"/>
        <v>Counted</v>
      </c>
    </row>
    <row r="198" spans="1:13" x14ac:dyDescent="0.25">
      <c r="A198" s="2" t="s">
        <v>368</v>
      </c>
      <c r="B198" s="3">
        <v>46327</v>
      </c>
      <c r="C198" s="3" t="s">
        <v>850</v>
      </c>
      <c r="D198" s="2" t="s">
        <v>19</v>
      </c>
      <c r="E198" s="2" t="s">
        <v>369</v>
      </c>
      <c r="F198" s="2" t="s">
        <v>102</v>
      </c>
      <c r="G198" s="2" t="s">
        <v>53</v>
      </c>
      <c r="H198" s="2">
        <v>1</v>
      </c>
      <c r="I198" s="4">
        <v>12500</v>
      </c>
      <c r="J198" s="2" t="s">
        <v>27</v>
      </c>
      <c r="K198" s="2" t="s">
        <v>17</v>
      </c>
      <c r="L198" s="4">
        <f t="shared" si="6"/>
        <v>12500</v>
      </c>
      <c r="M198" t="str">
        <f t="shared" si="7"/>
        <v>Counted</v>
      </c>
    </row>
    <row r="199" spans="1:13" x14ac:dyDescent="0.25">
      <c r="A199" s="2" t="s">
        <v>370</v>
      </c>
      <c r="B199" s="3">
        <v>46327</v>
      </c>
      <c r="C199" s="3" t="s">
        <v>850</v>
      </c>
      <c r="D199" s="2" t="s">
        <v>19</v>
      </c>
      <c r="E199" s="2" t="s">
        <v>154</v>
      </c>
      <c r="F199" s="2" t="s">
        <v>26</v>
      </c>
      <c r="G199" s="2" t="s">
        <v>15</v>
      </c>
      <c r="H199" s="2">
        <v>1</v>
      </c>
      <c r="I199" s="4">
        <v>24000</v>
      </c>
      <c r="J199" s="2" t="s">
        <v>27</v>
      </c>
      <c r="K199" s="2" t="s">
        <v>17</v>
      </c>
      <c r="L199" s="4">
        <f t="shared" si="6"/>
        <v>24000</v>
      </c>
      <c r="M199" t="str">
        <f t="shared" si="7"/>
        <v>Counted</v>
      </c>
    </row>
    <row r="200" spans="1:13" x14ac:dyDescent="0.25">
      <c r="A200" s="2" t="s">
        <v>371</v>
      </c>
      <c r="B200" s="3">
        <v>46327</v>
      </c>
      <c r="C200" s="3" t="s">
        <v>850</v>
      </c>
      <c r="D200" s="2" t="s">
        <v>19</v>
      </c>
      <c r="E200" s="2" t="s">
        <v>372</v>
      </c>
      <c r="F200" s="2" t="s">
        <v>26</v>
      </c>
      <c r="G200" s="2" t="s">
        <v>15</v>
      </c>
      <c r="H200" s="2">
        <v>1</v>
      </c>
      <c r="I200" s="4">
        <v>24000</v>
      </c>
      <c r="J200" s="2" t="s">
        <v>16</v>
      </c>
      <c r="K200" s="2" t="s">
        <v>17</v>
      </c>
      <c r="L200" s="4">
        <f t="shared" si="6"/>
        <v>24000</v>
      </c>
      <c r="M200" t="str">
        <f t="shared" si="7"/>
        <v>Counted</v>
      </c>
    </row>
    <row r="201" spans="1:13" x14ac:dyDescent="0.25">
      <c r="A201" s="2" t="s">
        <v>373</v>
      </c>
      <c r="B201" s="3">
        <v>46328</v>
      </c>
      <c r="C201" s="3" t="s">
        <v>850</v>
      </c>
      <c r="D201" s="2" t="s">
        <v>30</v>
      </c>
      <c r="E201" s="2" t="s">
        <v>374</v>
      </c>
      <c r="F201" s="2" t="s">
        <v>117</v>
      </c>
      <c r="G201" s="2" t="s">
        <v>46</v>
      </c>
      <c r="H201" s="2">
        <v>1</v>
      </c>
      <c r="I201" s="4">
        <v>2800</v>
      </c>
      <c r="J201" s="2" t="s">
        <v>16</v>
      </c>
      <c r="K201" s="2" t="s">
        <v>17</v>
      </c>
      <c r="L201" s="4">
        <f t="shared" si="6"/>
        <v>2800</v>
      </c>
      <c r="M201" t="str">
        <f t="shared" si="7"/>
        <v>Counted</v>
      </c>
    </row>
    <row r="202" spans="1:13" x14ac:dyDescent="0.25">
      <c r="A202" s="2" t="s">
        <v>375</v>
      </c>
      <c r="B202" s="3">
        <v>46328</v>
      </c>
      <c r="C202" s="3" t="s">
        <v>850</v>
      </c>
      <c r="D202" s="2" t="s">
        <v>30</v>
      </c>
      <c r="E202" s="2" t="s">
        <v>61</v>
      </c>
      <c r="F202" s="2" t="s">
        <v>73</v>
      </c>
      <c r="G202" s="2" t="s">
        <v>15</v>
      </c>
      <c r="H202" s="2">
        <v>1</v>
      </c>
      <c r="I202" s="4">
        <v>18000</v>
      </c>
      <c r="J202" s="2" t="s">
        <v>92</v>
      </c>
      <c r="K202" s="2" t="s">
        <v>17</v>
      </c>
      <c r="L202" s="4">
        <f t="shared" si="6"/>
        <v>18000</v>
      </c>
      <c r="M202" t="str">
        <f t="shared" si="7"/>
        <v>Counted</v>
      </c>
    </row>
    <row r="203" spans="1:13" x14ac:dyDescent="0.25">
      <c r="A203" s="2" t="s">
        <v>376</v>
      </c>
      <c r="B203" s="3">
        <v>46328</v>
      </c>
      <c r="C203" s="3" t="s">
        <v>850</v>
      </c>
      <c r="D203" s="2" t="s">
        <v>12</v>
      </c>
      <c r="E203" s="2" t="s">
        <v>79</v>
      </c>
      <c r="F203" s="2" t="s">
        <v>152</v>
      </c>
      <c r="G203" s="2" t="s">
        <v>36</v>
      </c>
      <c r="H203" s="2">
        <v>1</v>
      </c>
      <c r="I203" s="4">
        <v>6500</v>
      </c>
      <c r="J203" s="2" t="s">
        <v>37</v>
      </c>
      <c r="K203" s="2" t="s">
        <v>17</v>
      </c>
      <c r="L203" s="4">
        <f t="shared" si="6"/>
        <v>6500</v>
      </c>
      <c r="M203" t="str">
        <f t="shared" si="7"/>
        <v>Counted</v>
      </c>
    </row>
    <row r="204" spans="1:13" x14ac:dyDescent="0.25">
      <c r="A204" s="2" t="s">
        <v>377</v>
      </c>
      <c r="B204" s="3">
        <v>46328</v>
      </c>
      <c r="C204" s="3" t="s">
        <v>850</v>
      </c>
      <c r="D204" s="2" t="s">
        <v>24</v>
      </c>
      <c r="E204" s="2" t="s">
        <v>251</v>
      </c>
      <c r="F204" s="2" t="s">
        <v>40</v>
      </c>
      <c r="G204" s="2" t="s">
        <v>41</v>
      </c>
      <c r="H204" s="2">
        <v>3</v>
      </c>
      <c r="I204" s="4">
        <v>2400</v>
      </c>
      <c r="J204" s="2" t="s">
        <v>22</v>
      </c>
      <c r="K204" s="2" t="s">
        <v>28</v>
      </c>
      <c r="L204" s="4">
        <f t="shared" si="6"/>
        <v>7200</v>
      </c>
      <c r="M204" t="str">
        <f t="shared" si="7"/>
        <v>Counted</v>
      </c>
    </row>
    <row r="205" spans="1:13" x14ac:dyDescent="0.25">
      <c r="A205" s="2" t="s">
        <v>378</v>
      </c>
      <c r="B205" s="3">
        <v>46328</v>
      </c>
      <c r="C205" s="3" t="s">
        <v>850</v>
      </c>
      <c r="D205" s="2" t="s">
        <v>12</v>
      </c>
      <c r="E205" s="2" t="s">
        <v>379</v>
      </c>
      <c r="F205" s="2" t="s">
        <v>152</v>
      </c>
      <c r="G205" s="2" t="s">
        <v>36</v>
      </c>
      <c r="H205" s="2">
        <v>1</v>
      </c>
      <c r="I205" s="4">
        <v>6500</v>
      </c>
      <c r="J205" s="2" t="s">
        <v>92</v>
      </c>
      <c r="K205" s="2" t="s">
        <v>28</v>
      </c>
      <c r="L205" s="4">
        <f t="shared" si="6"/>
        <v>6500</v>
      </c>
      <c r="M205" t="str">
        <f t="shared" si="7"/>
        <v>Counted</v>
      </c>
    </row>
    <row r="206" spans="1:13" x14ac:dyDescent="0.25">
      <c r="A206" s="2" t="s">
        <v>380</v>
      </c>
      <c r="B206" s="3">
        <v>46328</v>
      </c>
      <c r="C206" s="3" t="s">
        <v>850</v>
      </c>
      <c r="D206" s="2" t="s">
        <v>24</v>
      </c>
      <c r="E206" s="2" t="s">
        <v>269</v>
      </c>
      <c r="F206" s="2" t="s">
        <v>32</v>
      </c>
      <c r="G206" s="2" t="s">
        <v>15</v>
      </c>
      <c r="H206" s="2">
        <v>1</v>
      </c>
      <c r="I206" s="4">
        <v>52000</v>
      </c>
      <c r="J206" s="2" t="s">
        <v>22</v>
      </c>
      <c r="K206" s="2" t="s">
        <v>28</v>
      </c>
      <c r="L206" s="4">
        <f t="shared" si="6"/>
        <v>52000</v>
      </c>
      <c r="M206" t="str">
        <f t="shared" si="7"/>
        <v>Counted</v>
      </c>
    </row>
    <row r="207" spans="1:13" x14ac:dyDescent="0.25">
      <c r="A207" s="2" t="s">
        <v>381</v>
      </c>
      <c r="B207" s="3">
        <v>46328</v>
      </c>
      <c r="C207" s="3" t="s">
        <v>850</v>
      </c>
      <c r="D207" s="2" t="s">
        <v>19</v>
      </c>
      <c r="E207" s="2" t="s">
        <v>202</v>
      </c>
      <c r="F207" s="2" t="s">
        <v>62</v>
      </c>
      <c r="G207" s="2" t="s">
        <v>41</v>
      </c>
      <c r="H207" s="2">
        <v>3</v>
      </c>
      <c r="I207" s="4">
        <v>2200</v>
      </c>
      <c r="J207" s="2" t="s">
        <v>22</v>
      </c>
      <c r="K207" s="2" t="s">
        <v>17</v>
      </c>
      <c r="L207" s="4">
        <f t="shared" si="6"/>
        <v>6600</v>
      </c>
      <c r="M207" t="str">
        <f t="shared" si="7"/>
        <v>Counted</v>
      </c>
    </row>
    <row r="208" spans="1:13" x14ac:dyDescent="0.25">
      <c r="A208" s="2" t="s">
        <v>382</v>
      </c>
      <c r="B208" s="3">
        <v>46328</v>
      </c>
      <c r="C208" s="3" t="s">
        <v>850</v>
      </c>
      <c r="D208" s="2" t="s">
        <v>19</v>
      </c>
      <c r="E208" s="2" t="s">
        <v>219</v>
      </c>
      <c r="F208" s="2" t="s">
        <v>59</v>
      </c>
      <c r="G208" s="2" t="s">
        <v>53</v>
      </c>
      <c r="H208" s="2">
        <v>2</v>
      </c>
      <c r="I208" s="4">
        <v>3800</v>
      </c>
      <c r="J208" s="2" t="s">
        <v>22</v>
      </c>
      <c r="K208" s="2" t="s">
        <v>17</v>
      </c>
      <c r="L208" s="4">
        <f t="shared" si="6"/>
        <v>7600</v>
      </c>
      <c r="M208" t="str">
        <f t="shared" si="7"/>
        <v>Counted</v>
      </c>
    </row>
    <row r="209" spans="1:13" x14ac:dyDescent="0.25">
      <c r="A209" s="2" t="s">
        <v>383</v>
      </c>
      <c r="B209" s="3">
        <v>46328</v>
      </c>
      <c r="C209" s="3" t="s">
        <v>850</v>
      </c>
      <c r="D209" s="2" t="s">
        <v>24</v>
      </c>
      <c r="E209" s="2" t="s">
        <v>111</v>
      </c>
      <c r="F209" s="2" t="s">
        <v>243</v>
      </c>
      <c r="G209" s="2" t="s">
        <v>15</v>
      </c>
      <c r="H209" s="2">
        <v>2</v>
      </c>
      <c r="I209" s="4">
        <v>9500</v>
      </c>
      <c r="J209" s="2" t="s">
        <v>16</v>
      </c>
      <c r="K209" s="2" t="s">
        <v>107</v>
      </c>
      <c r="L209" s="4">
        <f t="shared" si="6"/>
        <v>19000</v>
      </c>
      <c r="M209" t="str">
        <f t="shared" si="7"/>
        <v>Not Counted</v>
      </c>
    </row>
    <row r="210" spans="1:13" x14ac:dyDescent="0.25">
      <c r="A210" s="2" t="s">
        <v>384</v>
      </c>
      <c r="B210" s="3">
        <v>46329</v>
      </c>
      <c r="C210" s="3" t="s">
        <v>850</v>
      </c>
      <c r="D210" s="2" t="s">
        <v>12</v>
      </c>
      <c r="E210" s="2" t="s">
        <v>385</v>
      </c>
      <c r="F210" s="2" t="s">
        <v>49</v>
      </c>
      <c r="G210" s="2" t="s">
        <v>46</v>
      </c>
      <c r="H210" s="2">
        <v>1</v>
      </c>
      <c r="I210" s="4">
        <v>5000</v>
      </c>
      <c r="J210" s="2" t="s">
        <v>92</v>
      </c>
      <c r="K210" s="2" t="s">
        <v>17</v>
      </c>
      <c r="L210" s="4">
        <f t="shared" si="6"/>
        <v>5000</v>
      </c>
      <c r="M210" t="str">
        <f t="shared" si="7"/>
        <v>Counted</v>
      </c>
    </row>
    <row r="211" spans="1:13" x14ac:dyDescent="0.25">
      <c r="A211" s="2" t="s">
        <v>386</v>
      </c>
      <c r="B211" s="3">
        <v>46329</v>
      </c>
      <c r="C211" s="3" t="s">
        <v>850</v>
      </c>
      <c r="D211" s="2" t="s">
        <v>24</v>
      </c>
      <c r="E211" s="2" t="s">
        <v>387</v>
      </c>
      <c r="F211" s="2" t="s">
        <v>84</v>
      </c>
      <c r="G211" s="2" t="s">
        <v>53</v>
      </c>
      <c r="H211" s="2">
        <v>1</v>
      </c>
      <c r="I211" s="4">
        <v>22000</v>
      </c>
      <c r="J211" s="2" t="s">
        <v>22</v>
      </c>
      <c r="K211" s="2" t="s">
        <v>17</v>
      </c>
      <c r="L211" s="4">
        <f t="shared" si="6"/>
        <v>22000</v>
      </c>
      <c r="M211" t="str">
        <f t="shared" si="7"/>
        <v>Counted</v>
      </c>
    </row>
    <row r="212" spans="1:13" x14ac:dyDescent="0.25">
      <c r="A212" s="2" t="s">
        <v>388</v>
      </c>
      <c r="B212" s="3">
        <v>46329</v>
      </c>
      <c r="C212" s="3" t="s">
        <v>850</v>
      </c>
      <c r="D212" s="2" t="s">
        <v>19</v>
      </c>
      <c r="E212" s="2" t="s">
        <v>97</v>
      </c>
      <c r="F212" s="2" t="s">
        <v>40</v>
      </c>
      <c r="G212" s="2" t="s">
        <v>41</v>
      </c>
      <c r="H212" s="2">
        <v>2</v>
      </c>
      <c r="I212" s="4">
        <v>2400</v>
      </c>
      <c r="J212" s="2" t="s">
        <v>37</v>
      </c>
      <c r="K212" s="2" t="s">
        <v>17</v>
      </c>
      <c r="L212" s="4">
        <f t="shared" si="6"/>
        <v>4800</v>
      </c>
      <c r="M212" t="str">
        <f t="shared" si="7"/>
        <v>Counted</v>
      </c>
    </row>
    <row r="213" spans="1:13" x14ac:dyDescent="0.25">
      <c r="A213" s="2" t="s">
        <v>389</v>
      </c>
      <c r="B213" s="3">
        <v>46329</v>
      </c>
      <c r="C213" s="3" t="s">
        <v>850</v>
      </c>
      <c r="D213" s="2" t="s">
        <v>24</v>
      </c>
      <c r="E213" s="2" t="s">
        <v>359</v>
      </c>
      <c r="F213" s="2" t="s">
        <v>191</v>
      </c>
      <c r="G213" s="2" t="s">
        <v>41</v>
      </c>
      <c r="H213" s="2">
        <v>1</v>
      </c>
      <c r="I213" s="4">
        <v>1800</v>
      </c>
      <c r="J213" s="2" t="s">
        <v>27</v>
      </c>
      <c r="K213" s="2" t="s">
        <v>17</v>
      </c>
      <c r="L213" s="4">
        <f t="shared" si="6"/>
        <v>1800</v>
      </c>
      <c r="M213" t="str">
        <f t="shared" si="7"/>
        <v>Counted</v>
      </c>
    </row>
    <row r="214" spans="1:13" x14ac:dyDescent="0.25">
      <c r="A214" s="2" t="s">
        <v>390</v>
      </c>
      <c r="B214" s="3">
        <v>46329</v>
      </c>
      <c r="C214" s="3" t="s">
        <v>850</v>
      </c>
      <c r="D214" s="2" t="s">
        <v>30</v>
      </c>
      <c r="E214" s="2" t="s">
        <v>391</v>
      </c>
      <c r="F214" s="2" t="s">
        <v>87</v>
      </c>
      <c r="G214" s="2" t="s">
        <v>46</v>
      </c>
      <c r="H214" s="2">
        <v>3</v>
      </c>
      <c r="I214" s="4">
        <v>1600</v>
      </c>
      <c r="J214" s="2" t="s">
        <v>22</v>
      </c>
      <c r="K214" s="2" t="s">
        <v>17</v>
      </c>
      <c r="L214" s="4">
        <f t="shared" si="6"/>
        <v>4800</v>
      </c>
      <c r="M214" t="str">
        <f t="shared" si="7"/>
        <v>Counted</v>
      </c>
    </row>
    <row r="215" spans="1:13" x14ac:dyDescent="0.25">
      <c r="A215" s="2" t="s">
        <v>392</v>
      </c>
      <c r="B215" s="3">
        <v>46329</v>
      </c>
      <c r="C215" s="3" t="s">
        <v>850</v>
      </c>
      <c r="D215" s="2" t="s">
        <v>24</v>
      </c>
      <c r="E215" s="2" t="s">
        <v>393</v>
      </c>
      <c r="F215" s="2" t="s">
        <v>65</v>
      </c>
      <c r="G215" s="2" t="s">
        <v>36</v>
      </c>
      <c r="H215" s="2">
        <v>1</v>
      </c>
      <c r="I215" s="4">
        <v>28000</v>
      </c>
      <c r="J215" s="2" t="s">
        <v>92</v>
      </c>
      <c r="K215" s="2" t="s">
        <v>17</v>
      </c>
      <c r="L215" s="4">
        <f t="shared" si="6"/>
        <v>28000</v>
      </c>
      <c r="M215" t="str">
        <f t="shared" si="7"/>
        <v>Counted</v>
      </c>
    </row>
    <row r="216" spans="1:13" x14ac:dyDescent="0.25">
      <c r="A216" s="2" t="s">
        <v>394</v>
      </c>
      <c r="B216" s="3">
        <v>46329</v>
      </c>
      <c r="C216" s="3" t="s">
        <v>850</v>
      </c>
      <c r="D216" s="2" t="s">
        <v>19</v>
      </c>
      <c r="E216" s="2" t="s">
        <v>395</v>
      </c>
      <c r="F216" s="2" t="s">
        <v>59</v>
      </c>
      <c r="G216" s="2" t="s">
        <v>53</v>
      </c>
      <c r="H216" s="2">
        <v>1</v>
      </c>
      <c r="I216" s="4">
        <v>3800</v>
      </c>
      <c r="J216" s="2" t="s">
        <v>27</v>
      </c>
      <c r="K216" s="2" t="s">
        <v>42</v>
      </c>
      <c r="L216" s="4">
        <f t="shared" si="6"/>
        <v>3800</v>
      </c>
      <c r="M216" t="str">
        <f t="shared" si="7"/>
        <v>Not Counted</v>
      </c>
    </row>
    <row r="217" spans="1:13" x14ac:dyDescent="0.25">
      <c r="A217" s="2" t="s">
        <v>396</v>
      </c>
      <c r="B217" s="3">
        <v>46330</v>
      </c>
      <c r="C217" s="3" t="s">
        <v>850</v>
      </c>
      <c r="D217" s="2" t="s">
        <v>24</v>
      </c>
      <c r="E217" s="2" t="s">
        <v>154</v>
      </c>
      <c r="F217" s="2" t="s">
        <v>87</v>
      </c>
      <c r="G217" s="2" t="s">
        <v>46</v>
      </c>
      <c r="H217" s="2">
        <v>3</v>
      </c>
      <c r="I217" s="4">
        <v>1600</v>
      </c>
      <c r="J217" s="2" t="s">
        <v>37</v>
      </c>
      <c r="K217" s="2" t="s">
        <v>107</v>
      </c>
      <c r="L217" s="4">
        <f t="shared" si="6"/>
        <v>4800</v>
      </c>
      <c r="M217" t="str">
        <f t="shared" si="7"/>
        <v>Not Counted</v>
      </c>
    </row>
    <row r="218" spans="1:13" x14ac:dyDescent="0.25">
      <c r="A218" s="2" t="s">
        <v>397</v>
      </c>
      <c r="B218" s="3">
        <v>46330</v>
      </c>
      <c r="C218" s="3" t="s">
        <v>850</v>
      </c>
      <c r="D218" s="2" t="s">
        <v>19</v>
      </c>
      <c r="E218" s="2" t="s">
        <v>398</v>
      </c>
      <c r="F218" s="2" t="s">
        <v>95</v>
      </c>
      <c r="G218" s="2" t="s">
        <v>15</v>
      </c>
      <c r="H218" s="2">
        <v>1</v>
      </c>
      <c r="I218" s="4">
        <v>58000</v>
      </c>
      <c r="J218" s="2" t="s">
        <v>16</v>
      </c>
      <c r="K218" s="2" t="s">
        <v>28</v>
      </c>
      <c r="L218" s="4">
        <f t="shared" si="6"/>
        <v>58000</v>
      </c>
      <c r="M218" t="str">
        <f t="shared" si="7"/>
        <v>Counted</v>
      </c>
    </row>
    <row r="219" spans="1:13" x14ac:dyDescent="0.25">
      <c r="A219" s="2" t="s">
        <v>399</v>
      </c>
      <c r="B219" s="3">
        <v>46330</v>
      </c>
      <c r="C219" s="3" t="s">
        <v>850</v>
      </c>
      <c r="D219" s="2" t="s">
        <v>30</v>
      </c>
      <c r="E219" s="2" t="s">
        <v>246</v>
      </c>
      <c r="F219" s="2" t="s">
        <v>133</v>
      </c>
      <c r="G219" s="2" t="s">
        <v>15</v>
      </c>
      <c r="H219" s="2">
        <v>3</v>
      </c>
      <c r="I219" s="4">
        <v>1800</v>
      </c>
      <c r="J219" s="2" t="s">
        <v>92</v>
      </c>
      <c r="K219" s="2" t="s">
        <v>17</v>
      </c>
      <c r="L219" s="4">
        <f t="shared" si="6"/>
        <v>5400</v>
      </c>
      <c r="M219" t="str">
        <f t="shared" si="7"/>
        <v>Counted</v>
      </c>
    </row>
    <row r="220" spans="1:13" x14ac:dyDescent="0.25">
      <c r="A220" s="2" t="s">
        <v>400</v>
      </c>
      <c r="B220" s="3">
        <v>46330</v>
      </c>
      <c r="C220" s="3" t="s">
        <v>850</v>
      </c>
      <c r="D220" s="2" t="s">
        <v>24</v>
      </c>
      <c r="E220" s="2" t="s">
        <v>401</v>
      </c>
      <c r="F220" s="2" t="s">
        <v>32</v>
      </c>
      <c r="G220" s="2" t="s">
        <v>15</v>
      </c>
      <c r="H220" s="2">
        <v>1</v>
      </c>
      <c r="I220" s="4">
        <v>52000</v>
      </c>
      <c r="J220" s="2" t="s">
        <v>16</v>
      </c>
      <c r="K220" s="2" t="s">
        <v>17</v>
      </c>
      <c r="L220" s="4">
        <f t="shared" si="6"/>
        <v>52000</v>
      </c>
      <c r="M220" t="str">
        <f t="shared" si="7"/>
        <v>Counted</v>
      </c>
    </row>
    <row r="221" spans="1:13" x14ac:dyDescent="0.25">
      <c r="A221" s="2" t="s">
        <v>402</v>
      </c>
      <c r="B221" s="3">
        <v>46330</v>
      </c>
      <c r="C221" s="3" t="s">
        <v>850</v>
      </c>
      <c r="D221" s="2" t="s">
        <v>19</v>
      </c>
      <c r="E221" s="2" t="s">
        <v>304</v>
      </c>
      <c r="F221" s="2" t="s">
        <v>87</v>
      </c>
      <c r="G221" s="2" t="s">
        <v>46</v>
      </c>
      <c r="H221" s="2">
        <v>1</v>
      </c>
      <c r="I221" s="4">
        <v>1600</v>
      </c>
      <c r="J221" s="2" t="s">
        <v>16</v>
      </c>
      <c r="K221" s="2" t="s">
        <v>28</v>
      </c>
      <c r="L221" s="4">
        <f t="shared" si="6"/>
        <v>1600</v>
      </c>
      <c r="M221" t="str">
        <f t="shared" si="7"/>
        <v>Counted</v>
      </c>
    </row>
    <row r="222" spans="1:13" x14ac:dyDescent="0.25">
      <c r="A222" s="2" t="s">
        <v>403</v>
      </c>
      <c r="B222" s="3">
        <v>46330</v>
      </c>
      <c r="C222" s="3" t="s">
        <v>850</v>
      </c>
      <c r="D222" s="2" t="s">
        <v>24</v>
      </c>
      <c r="E222" s="2" t="s">
        <v>113</v>
      </c>
      <c r="F222" s="2" t="s">
        <v>117</v>
      </c>
      <c r="G222" s="2" t="s">
        <v>46</v>
      </c>
      <c r="H222" s="2">
        <v>1</v>
      </c>
      <c r="I222" s="4">
        <v>2800</v>
      </c>
      <c r="J222" s="2" t="s">
        <v>22</v>
      </c>
      <c r="K222" s="2" t="s">
        <v>17</v>
      </c>
      <c r="L222" s="4">
        <f t="shared" si="6"/>
        <v>2800</v>
      </c>
      <c r="M222" t="str">
        <f t="shared" si="7"/>
        <v>Counted</v>
      </c>
    </row>
    <row r="223" spans="1:13" x14ac:dyDescent="0.25">
      <c r="A223" s="2" t="s">
        <v>404</v>
      </c>
      <c r="B223" s="3">
        <v>46330</v>
      </c>
      <c r="C223" s="3" t="s">
        <v>850</v>
      </c>
      <c r="D223" s="2" t="s">
        <v>30</v>
      </c>
      <c r="E223" s="2" t="s">
        <v>236</v>
      </c>
      <c r="F223" s="2" t="s">
        <v>26</v>
      </c>
      <c r="G223" s="2" t="s">
        <v>15</v>
      </c>
      <c r="H223" s="2">
        <v>1</v>
      </c>
      <c r="I223" s="4">
        <v>24000</v>
      </c>
      <c r="J223" s="2" t="s">
        <v>16</v>
      </c>
      <c r="K223" s="2" t="s">
        <v>42</v>
      </c>
      <c r="L223" s="4">
        <f t="shared" si="6"/>
        <v>24000</v>
      </c>
      <c r="M223" t="str">
        <f t="shared" si="7"/>
        <v>Not Counted</v>
      </c>
    </row>
    <row r="224" spans="1:13" x14ac:dyDescent="0.25">
      <c r="A224" s="2" t="s">
        <v>405</v>
      </c>
      <c r="B224" s="3">
        <v>46330</v>
      </c>
      <c r="C224" s="3" t="s">
        <v>850</v>
      </c>
      <c r="D224" s="2" t="s">
        <v>24</v>
      </c>
      <c r="E224" s="2" t="s">
        <v>406</v>
      </c>
      <c r="F224" s="2" t="s">
        <v>26</v>
      </c>
      <c r="G224" s="2" t="s">
        <v>15</v>
      </c>
      <c r="H224" s="2">
        <v>1</v>
      </c>
      <c r="I224" s="4">
        <v>24000</v>
      </c>
      <c r="J224" s="2" t="s">
        <v>16</v>
      </c>
      <c r="K224" s="2" t="s">
        <v>107</v>
      </c>
      <c r="L224" s="4">
        <f t="shared" si="6"/>
        <v>24000</v>
      </c>
      <c r="M224" t="str">
        <f t="shared" si="7"/>
        <v>Not Counted</v>
      </c>
    </row>
    <row r="225" spans="1:13" x14ac:dyDescent="0.25">
      <c r="A225" s="2" t="s">
        <v>407</v>
      </c>
      <c r="B225" s="3">
        <v>46331</v>
      </c>
      <c r="C225" s="3" t="s">
        <v>850</v>
      </c>
      <c r="D225" s="2" t="s">
        <v>19</v>
      </c>
      <c r="E225" s="2" t="s">
        <v>355</v>
      </c>
      <c r="F225" s="2" t="s">
        <v>114</v>
      </c>
      <c r="G225" s="2" t="s">
        <v>36</v>
      </c>
      <c r="H225" s="2">
        <v>1</v>
      </c>
      <c r="I225" s="4">
        <v>9500</v>
      </c>
      <c r="J225" s="2" t="s">
        <v>22</v>
      </c>
      <c r="K225" s="2" t="s">
        <v>42</v>
      </c>
      <c r="L225" s="4">
        <f t="shared" si="6"/>
        <v>9500</v>
      </c>
      <c r="M225" t="str">
        <f t="shared" si="7"/>
        <v>Not Counted</v>
      </c>
    </row>
    <row r="226" spans="1:13" x14ac:dyDescent="0.25">
      <c r="A226" s="2" t="s">
        <v>408</v>
      </c>
      <c r="B226" s="3">
        <v>46331</v>
      </c>
      <c r="C226" s="3" t="s">
        <v>850</v>
      </c>
      <c r="D226" s="2" t="s">
        <v>19</v>
      </c>
      <c r="E226" s="2" t="s">
        <v>129</v>
      </c>
      <c r="F226" s="2" t="s">
        <v>62</v>
      </c>
      <c r="G226" s="2" t="s">
        <v>41</v>
      </c>
      <c r="H226" s="2">
        <v>1</v>
      </c>
      <c r="I226" s="4">
        <v>2200</v>
      </c>
      <c r="J226" s="2" t="s">
        <v>27</v>
      </c>
      <c r="K226" s="2" t="s">
        <v>107</v>
      </c>
      <c r="L226" s="4">
        <f t="shared" si="6"/>
        <v>2200</v>
      </c>
      <c r="M226" t="str">
        <f t="shared" si="7"/>
        <v>Not Counted</v>
      </c>
    </row>
    <row r="227" spans="1:13" x14ac:dyDescent="0.25">
      <c r="A227" s="2" t="s">
        <v>409</v>
      </c>
      <c r="B227" s="3">
        <v>46331</v>
      </c>
      <c r="C227" s="3" t="s">
        <v>850</v>
      </c>
      <c r="D227" s="2" t="s">
        <v>12</v>
      </c>
      <c r="E227" s="2" t="s">
        <v>200</v>
      </c>
      <c r="F227" s="2" t="s">
        <v>65</v>
      </c>
      <c r="G227" s="2" t="s">
        <v>36</v>
      </c>
      <c r="H227" s="2">
        <v>1</v>
      </c>
      <c r="I227" s="4">
        <v>28000</v>
      </c>
      <c r="J227" s="2" t="s">
        <v>16</v>
      </c>
      <c r="K227" s="2" t="s">
        <v>42</v>
      </c>
      <c r="L227" s="4">
        <f t="shared" si="6"/>
        <v>28000</v>
      </c>
      <c r="M227" t="str">
        <f t="shared" si="7"/>
        <v>Not Counted</v>
      </c>
    </row>
    <row r="228" spans="1:13" x14ac:dyDescent="0.25">
      <c r="A228" s="2" t="s">
        <v>410</v>
      </c>
      <c r="B228" s="3">
        <v>46331</v>
      </c>
      <c r="C228" s="3" t="s">
        <v>850</v>
      </c>
      <c r="D228" s="2" t="s">
        <v>30</v>
      </c>
      <c r="E228" s="2" t="s">
        <v>401</v>
      </c>
      <c r="F228" s="2" t="s">
        <v>133</v>
      </c>
      <c r="G228" s="2" t="s">
        <v>15</v>
      </c>
      <c r="H228" s="2">
        <v>2</v>
      </c>
      <c r="I228" s="4">
        <v>1800</v>
      </c>
      <c r="J228" s="2" t="s">
        <v>16</v>
      </c>
      <c r="K228" s="2" t="s">
        <v>17</v>
      </c>
      <c r="L228" s="4">
        <f t="shared" si="6"/>
        <v>3600</v>
      </c>
      <c r="M228" t="str">
        <f t="shared" si="7"/>
        <v>Counted</v>
      </c>
    </row>
    <row r="229" spans="1:13" x14ac:dyDescent="0.25">
      <c r="A229" s="2" t="s">
        <v>411</v>
      </c>
      <c r="B229" s="3">
        <v>46331</v>
      </c>
      <c r="C229" s="3" t="s">
        <v>850</v>
      </c>
      <c r="D229" s="2" t="s">
        <v>30</v>
      </c>
      <c r="E229" s="2" t="s">
        <v>412</v>
      </c>
      <c r="F229" s="2" t="s">
        <v>243</v>
      </c>
      <c r="G229" s="2" t="s">
        <v>15</v>
      </c>
      <c r="H229" s="2">
        <v>2</v>
      </c>
      <c r="I229" s="4">
        <v>9500</v>
      </c>
      <c r="J229" s="2" t="s">
        <v>22</v>
      </c>
      <c r="K229" s="2" t="s">
        <v>17</v>
      </c>
      <c r="L229" s="4">
        <f t="shared" si="6"/>
        <v>19000</v>
      </c>
      <c r="M229" t="str">
        <f t="shared" si="7"/>
        <v>Counted</v>
      </c>
    </row>
    <row r="230" spans="1:13" x14ac:dyDescent="0.25">
      <c r="A230" s="2" t="s">
        <v>413</v>
      </c>
      <c r="B230" s="3">
        <v>46331</v>
      </c>
      <c r="C230" s="3" t="s">
        <v>850</v>
      </c>
      <c r="D230" s="2" t="s">
        <v>30</v>
      </c>
      <c r="E230" s="2" t="s">
        <v>64</v>
      </c>
      <c r="F230" s="2" t="s">
        <v>152</v>
      </c>
      <c r="G230" s="2" t="s">
        <v>36</v>
      </c>
      <c r="H230" s="2">
        <v>1</v>
      </c>
      <c r="I230" s="4">
        <v>6500</v>
      </c>
      <c r="J230" s="2" t="s">
        <v>37</v>
      </c>
      <c r="K230" s="2" t="s">
        <v>17</v>
      </c>
      <c r="L230" s="4">
        <f t="shared" si="6"/>
        <v>6500</v>
      </c>
      <c r="M230" t="str">
        <f t="shared" si="7"/>
        <v>Counted</v>
      </c>
    </row>
    <row r="231" spans="1:13" x14ac:dyDescent="0.25">
      <c r="A231" s="2" t="s">
        <v>414</v>
      </c>
      <c r="B231" s="3">
        <v>46331</v>
      </c>
      <c r="C231" s="3" t="s">
        <v>850</v>
      </c>
      <c r="D231" s="2" t="s">
        <v>19</v>
      </c>
      <c r="E231" s="2" t="s">
        <v>415</v>
      </c>
      <c r="F231" s="2" t="s">
        <v>40</v>
      </c>
      <c r="G231" s="2" t="s">
        <v>41</v>
      </c>
      <c r="H231" s="2">
        <v>3</v>
      </c>
      <c r="I231" s="4">
        <v>2400</v>
      </c>
      <c r="J231" s="2" t="s">
        <v>16</v>
      </c>
      <c r="K231" s="2" t="s">
        <v>17</v>
      </c>
      <c r="L231" s="4">
        <f t="shared" si="6"/>
        <v>7200</v>
      </c>
      <c r="M231" t="str">
        <f t="shared" si="7"/>
        <v>Counted</v>
      </c>
    </row>
    <row r="232" spans="1:13" x14ac:dyDescent="0.25">
      <c r="A232" s="2" t="s">
        <v>416</v>
      </c>
      <c r="B232" s="3">
        <v>46331</v>
      </c>
      <c r="C232" s="3" t="s">
        <v>850</v>
      </c>
      <c r="D232" s="2" t="s">
        <v>24</v>
      </c>
      <c r="E232" s="2" t="s">
        <v>269</v>
      </c>
      <c r="F232" s="2" t="s">
        <v>117</v>
      </c>
      <c r="G232" s="2" t="s">
        <v>46</v>
      </c>
      <c r="H232" s="2">
        <v>1</v>
      </c>
      <c r="I232" s="4">
        <v>2800</v>
      </c>
      <c r="J232" s="2" t="s">
        <v>22</v>
      </c>
      <c r="K232" s="2" t="s">
        <v>17</v>
      </c>
      <c r="L232" s="4">
        <f t="shared" si="6"/>
        <v>2800</v>
      </c>
      <c r="M232" t="str">
        <f t="shared" si="7"/>
        <v>Counted</v>
      </c>
    </row>
    <row r="233" spans="1:13" x14ac:dyDescent="0.25">
      <c r="A233" s="2" t="s">
        <v>417</v>
      </c>
      <c r="B233" s="3">
        <v>46331</v>
      </c>
      <c r="C233" s="3" t="s">
        <v>850</v>
      </c>
      <c r="D233" s="2" t="s">
        <v>30</v>
      </c>
      <c r="E233" s="2" t="s">
        <v>70</v>
      </c>
      <c r="F233" s="2" t="s">
        <v>45</v>
      </c>
      <c r="G233" s="2" t="s">
        <v>46</v>
      </c>
      <c r="H233" s="2">
        <v>1</v>
      </c>
      <c r="I233" s="4">
        <v>3500</v>
      </c>
      <c r="J233" s="2" t="s">
        <v>37</v>
      </c>
      <c r="K233" s="2" t="s">
        <v>17</v>
      </c>
      <c r="L233" s="4">
        <f t="shared" si="6"/>
        <v>3500</v>
      </c>
      <c r="M233" t="str">
        <f t="shared" si="7"/>
        <v>Counted</v>
      </c>
    </row>
    <row r="234" spans="1:13" x14ac:dyDescent="0.25">
      <c r="A234" s="2" t="s">
        <v>418</v>
      </c>
      <c r="B234" s="3">
        <v>46331</v>
      </c>
      <c r="C234" s="3" t="s">
        <v>850</v>
      </c>
      <c r="D234" s="2" t="s">
        <v>30</v>
      </c>
      <c r="E234" s="2" t="s">
        <v>419</v>
      </c>
      <c r="F234" s="2" t="s">
        <v>21</v>
      </c>
      <c r="G234" s="2" t="s">
        <v>15</v>
      </c>
      <c r="H234" s="2">
        <v>1</v>
      </c>
      <c r="I234" s="4">
        <v>62000</v>
      </c>
      <c r="J234" s="2" t="s">
        <v>22</v>
      </c>
      <c r="K234" s="2" t="s">
        <v>17</v>
      </c>
      <c r="L234" s="4">
        <f t="shared" si="6"/>
        <v>62000</v>
      </c>
      <c r="M234" t="str">
        <f t="shared" si="7"/>
        <v>Counted</v>
      </c>
    </row>
    <row r="235" spans="1:13" x14ac:dyDescent="0.25">
      <c r="A235" s="2" t="s">
        <v>420</v>
      </c>
      <c r="B235" s="3">
        <v>46331</v>
      </c>
      <c r="C235" s="3" t="s">
        <v>850</v>
      </c>
      <c r="D235" s="2" t="s">
        <v>24</v>
      </c>
      <c r="E235" s="2" t="s">
        <v>421</v>
      </c>
      <c r="F235" s="2" t="s">
        <v>59</v>
      </c>
      <c r="G235" s="2" t="s">
        <v>53</v>
      </c>
      <c r="H235" s="2">
        <v>1</v>
      </c>
      <c r="I235" s="4">
        <v>3800</v>
      </c>
      <c r="J235" s="2" t="s">
        <v>22</v>
      </c>
      <c r="K235" s="2" t="s">
        <v>17</v>
      </c>
      <c r="L235" s="4">
        <f t="shared" si="6"/>
        <v>3800</v>
      </c>
      <c r="M235" t="str">
        <f t="shared" si="7"/>
        <v>Counted</v>
      </c>
    </row>
    <row r="236" spans="1:13" x14ac:dyDescent="0.25">
      <c r="A236" s="2" t="s">
        <v>422</v>
      </c>
      <c r="B236" s="3">
        <v>46331</v>
      </c>
      <c r="C236" s="3" t="s">
        <v>850</v>
      </c>
      <c r="D236" s="2" t="s">
        <v>24</v>
      </c>
      <c r="E236" s="2" t="s">
        <v>280</v>
      </c>
      <c r="F236" s="2" t="s">
        <v>49</v>
      </c>
      <c r="G236" s="2" t="s">
        <v>46</v>
      </c>
      <c r="H236" s="2">
        <v>1</v>
      </c>
      <c r="I236" s="4">
        <v>5000</v>
      </c>
      <c r="J236" s="2" t="s">
        <v>16</v>
      </c>
      <c r="K236" s="2" t="s">
        <v>17</v>
      </c>
      <c r="L236" s="4">
        <f t="shared" si="6"/>
        <v>5000</v>
      </c>
      <c r="M236" t="str">
        <f t="shared" si="7"/>
        <v>Counted</v>
      </c>
    </row>
    <row r="237" spans="1:13" x14ac:dyDescent="0.25">
      <c r="A237" s="2" t="s">
        <v>423</v>
      </c>
      <c r="B237" s="3">
        <v>46331</v>
      </c>
      <c r="C237" s="3" t="s">
        <v>850</v>
      </c>
      <c r="D237" s="2" t="s">
        <v>30</v>
      </c>
      <c r="E237" s="2" t="s">
        <v>234</v>
      </c>
      <c r="F237" s="2" t="s">
        <v>133</v>
      </c>
      <c r="G237" s="2" t="s">
        <v>15</v>
      </c>
      <c r="H237" s="2">
        <v>1</v>
      </c>
      <c r="I237" s="4">
        <v>1800</v>
      </c>
      <c r="J237" s="2" t="s">
        <v>92</v>
      </c>
      <c r="K237" s="2" t="s">
        <v>28</v>
      </c>
      <c r="L237" s="4">
        <f t="shared" si="6"/>
        <v>1800</v>
      </c>
      <c r="M237" t="str">
        <f t="shared" si="7"/>
        <v>Counted</v>
      </c>
    </row>
    <row r="238" spans="1:13" x14ac:dyDescent="0.25">
      <c r="A238" s="2" t="s">
        <v>424</v>
      </c>
      <c r="B238" s="3">
        <v>46332</v>
      </c>
      <c r="C238" s="3" t="s">
        <v>850</v>
      </c>
      <c r="D238" s="2" t="s">
        <v>12</v>
      </c>
      <c r="E238" s="2" t="s">
        <v>48</v>
      </c>
      <c r="F238" s="2" t="s">
        <v>87</v>
      </c>
      <c r="G238" s="2" t="s">
        <v>46</v>
      </c>
      <c r="H238" s="2">
        <v>1</v>
      </c>
      <c r="I238" s="4">
        <v>1600</v>
      </c>
      <c r="J238" s="2" t="s">
        <v>22</v>
      </c>
      <c r="K238" s="2" t="s">
        <v>107</v>
      </c>
      <c r="L238" s="4">
        <f t="shared" si="6"/>
        <v>1600</v>
      </c>
      <c r="M238" t="str">
        <f t="shared" si="7"/>
        <v>Not Counted</v>
      </c>
    </row>
    <row r="239" spans="1:13" x14ac:dyDescent="0.25">
      <c r="A239" s="2" t="s">
        <v>425</v>
      </c>
      <c r="B239" s="3">
        <v>46332</v>
      </c>
      <c r="C239" s="3" t="s">
        <v>850</v>
      </c>
      <c r="D239" s="2" t="s">
        <v>30</v>
      </c>
      <c r="E239" s="2" t="s">
        <v>70</v>
      </c>
      <c r="F239" s="2" t="s">
        <v>84</v>
      </c>
      <c r="G239" s="2" t="s">
        <v>53</v>
      </c>
      <c r="H239" s="2">
        <v>1</v>
      </c>
      <c r="I239" s="4">
        <v>22000</v>
      </c>
      <c r="J239" s="2" t="s">
        <v>92</v>
      </c>
      <c r="K239" s="2" t="s">
        <v>17</v>
      </c>
      <c r="L239" s="4">
        <f t="shared" si="6"/>
        <v>22000</v>
      </c>
      <c r="M239" t="str">
        <f t="shared" si="7"/>
        <v>Counted</v>
      </c>
    </row>
    <row r="240" spans="1:13" x14ac:dyDescent="0.25">
      <c r="A240" s="2" t="s">
        <v>426</v>
      </c>
      <c r="B240" s="3">
        <v>46332</v>
      </c>
      <c r="C240" s="3" t="s">
        <v>850</v>
      </c>
      <c r="D240" s="2" t="s">
        <v>24</v>
      </c>
      <c r="E240" s="2" t="s">
        <v>269</v>
      </c>
      <c r="F240" s="2" t="s">
        <v>14</v>
      </c>
      <c r="G240" s="2" t="s">
        <v>15</v>
      </c>
      <c r="H240" s="2">
        <v>1</v>
      </c>
      <c r="I240" s="4">
        <v>65000</v>
      </c>
      <c r="J240" s="2" t="s">
        <v>37</v>
      </c>
      <c r="K240" s="2" t="s">
        <v>17</v>
      </c>
      <c r="L240" s="4">
        <f t="shared" si="6"/>
        <v>65000</v>
      </c>
      <c r="M240" t="str">
        <f t="shared" si="7"/>
        <v>Counted</v>
      </c>
    </row>
    <row r="241" spans="1:13" x14ac:dyDescent="0.25">
      <c r="A241" s="2" t="s">
        <v>427</v>
      </c>
      <c r="B241" s="3">
        <v>46333</v>
      </c>
      <c r="C241" s="3" t="s">
        <v>850</v>
      </c>
      <c r="D241" s="2" t="s">
        <v>19</v>
      </c>
      <c r="E241" s="2" t="s">
        <v>176</v>
      </c>
      <c r="F241" s="2" t="s">
        <v>52</v>
      </c>
      <c r="G241" s="2" t="s">
        <v>53</v>
      </c>
      <c r="H241" s="2">
        <v>1</v>
      </c>
      <c r="I241" s="4">
        <v>8500</v>
      </c>
      <c r="J241" s="2" t="s">
        <v>92</v>
      </c>
      <c r="K241" s="2" t="s">
        <v>17</v>
      </c>
      <c r="L241" s="4">
        <f t="shared" si="6"/>
        <v>8500</v>
      </c>
      <c r="M241" t="str">
        <f t="shared" si="7"/>
        <v>Counted</v>
      </c>
    </row>
    <row r="242" spans="1:13" x14ac:dyDescent="0.25">
      <c r="A242" s="2" t="s">
        <v>428</v>
      </c>
      <c r="B242" s="3">
        <v>46333</v>
      </c>
      <c r="C242" s="3" t="s">
        <v>850</v>
      </c>
      <c r="D242" s="2" t="s">
        <v>30</v>
      </c>
      <c r="E242" s="2" t="s">
        <v>429</v>
      </c>
      <c r="F242" s="2" t="s">
        <v>68</v>
      </c>
      <c r="G242" s="2" t="s">
        <v>41</v>
      </c>
      <c r="H242" s="2">
        <v>1</v>
      </c>
      <c r="I242" s="4">
        <v>1500</v>
      </c>
      <c r="J242" s="2" t="s">
        <v>92</v>
      </c>
      <c r="K242" s="2" t="s">
        <v>17</v>
      </c>
      <c r="L242" s="4">
        <f t="shared" si="6"/>
        <v>1500</v>
      </c>
      <c r="M242" t="str">
        <f t="shared" si="7"/>
        <v>Counted</v>
      </c>
    </row>
    <row r="243" spans="1:13" x14ac:dyDescent="0.25">
      <c r="A243" s="2" t="s">
        <v>430</v>
      </c>
      <c r="B243" s="3">
        <v>46333</v>
      </c>
      <c r="C243" s="3" t="s">
        <v>850</v>
      </c>
      <c r="D243" s="2" t="s">
        <v>24</v>
      </c>
      <c r="E243" s="2" t="s">
        <v>431</v>
      </c>
      <c r="F243" s="2" t="s">
        <v>59</v>
      </c>
      <c r="G243" s="2" t="s">
        <v>53</v>
      </c>
      <c r="H243" s="2">
        <v>1</v>
      </c>
      <c r="I243" s="4">
        <v>3800</v>
      </c>
      <c r="J243" s="2" t="s">
        <v>22</v>
      </c>
      <c r="K243" s="2" t="s">
        <v>17</v>
      </c>
      <c r="L243" s="4">
        <f t="shared" si="6"/>
        <v>3800</v>
      </c>
      <c r="M243" t="str">
        <f t="shared" si="7"/>
        <v>Counted</v>
      </c>
    </row>
    <row r="244" spans="1:13" x14ac:dyDescent="0.25">
      <c r="A244" s="2" t="s">
        <v>432</v>
      </c>
      <c r="B244" s="3">
        <v>46333</v>
      </c>
      <c r="C244" s="3" t="s">
        <v>850</v>
      </c>
      <c r="D244" s="2" t="s">
        <v>30</v>
      </c>
      <c r="E244" s="2" t="s">
        <v>127</v>
      </c>
      <c r="F244" s="2" t="s">
        <v>49</v>
      </c>
      <c r="G244" s="2" t="s">
        <v>46</v>
      </c>
      <c r="H244" s="2">
        <v>1</v>
      </c>
      <c r="I244" s="4">
        <v>5000</v>
      </c>
      <c r="J244" s="2" t="s">
        <v>22</v>
      </c>
      <c r="K244" s="2" t="s">
        <v>17</v>
      </c>
      <c r="L244" s="4">
        <f t="shared" si="6"/>
        <v>5000</v>
      </c>
      <c r="M244" t="str">
        <f t="shared" si="7"/>
        <v>Counted</v>
      </c>
    </row>
    <row r="245" spans="1:13" x14ac:dyDescent="0.25">
      <c r="A245" s="2" t="s">
        <v>433</v>
      </c>
      <c r="B245" s="3">
        <v>46333</v>
      </c>
      <c r="C245" s="3" t="s">
        <v>850</v>
      </c>
      <c r="D245" s="2" t="s">
        <v>24</v>
      </c>
      <c r="E245" s="2" t="s">
        <v>209</v>
      </c>
      <c r="F245" s="2" t="s">
        <v>32</v>
      </c>
      <c r="G245" s="2" t="s">
        <v>15</v>
      </c>
      <c r="H245" s="2">
        <v>1</v>
      </c>
      <c r="I245" s="4">
        <v>52000</v>
      </c>
      <c r="J245" s="2" t="s">
        <v>37</v>
      </c>
      <c r="K245" s="2" t="s">
        <v>17</v>
      </c>
      <c r="L245" s="4">
        <f t="shared" si="6"/>
        <v>52000</v>
      </c>
      <c r="M245" t="str">
        <f t="shared" si="7"/>
        <v>Counted</v>
      </c>
    </row>
    <row r="246" spans="1:13" x14ac:dyDescent="0.25">
      <c r="A246" s="2" t="s">
        <v>434</v>
      </c>
      <c r="B246" s="3">
        <v>46333</v>
      </c>
      <c r="C246" s="3" t="s">
        <v>850</v>
      </c>
      <c r="D246" s="2" t="s">
        <v>24</v>
      </c>
      <c r="E246" s="2" t="s">
        <v>435</v>
      </c>
      <c r="F246" s="2" t="s">
        <v>133</v>
      </c>
      <c r="G246" s="2" t="s">
        <v>15</v>
      </c>
      <c r="H246" s="2">
        <v>2</v>
      </c>
      <c r="I246" s="4">
        <v>1800</v>
      </c>
      <c r="J246" s="2" t="s">
        <v>27</v>
      </c>
      <c r="K246" s="2" t="s">
        <v>17</v>
      </c>
      <c r="L246" s="4">
        <f t="shared" si="6"/>
        <v>3600</v>
      </c>
      <c r="M246" t="str">
        <f t="shared" si="7"/>
        <v>Counted</v>
      </c>
    </row>
    <row r="247" spans="1:13" x14ac:dyDescent="0.25">
      <c r="A247" s="2" t="s">
        <v>436</v>
      </c>
      <c r="B247" s="3">
        <v>46333</v>
      </c>
      <c r="C247" s="3" t="s">
        <v>850</v>
      </c>
      <c r="D247" s="2" t="s">
        <v>24</v>
      </c>
      <c r="E247" s="2" t="s">
        <v>236</v>
      </c>
      <c r="F247" s="2" t="s">
        <v>45</v>
      </c>
      <c r="G247" s="2" t="s">
        <v>46</v>
      </c>
      <c r="H247" s="2">
        <v>1</v>
      </c>
      <c r="I247" s="4">
        <v>3500</v>
      </c>
      <c r="J247" s="2" t="s">
        <v>22</v>
      </c>
      <c r="K247" s="2" t="s">
        <v>107</v>
      </c>
      <c r="L247" s="4">
        <f t="shared" si="6"/>
        <v>3500</v>
      </c>
      <c r="M247" t="str">
        <f t="shared" si="7"/>
        <v>Not Counted</v>
      </c>
    </row>
    <row r="248" spans="1:13" x14ac:dyDescent="0.25">
      <c r="A248" s="2" t="s">
        <v>437</v>
      </c>
      <c r="B248" s="3">
        <v>46333</v>
      </c>
      <c r="C248" s="3" t="s">
        <v>850</v>
      </c>
      <c r="D248" s="2" t="s">
        <v>30</v>
      </c>
      <c r="E248" s="2" t="s">
        <v>147</v>
      </c>
      <c r="F248" s="2" t="s">
        <v>45</v>
      </c>
      <c r="G248" s="2" t="s">
        <v>46</v>
      </c>
      <c r="H248" s="2">
        <v>1</v>
      </c>
      <c r="I248" s="4">
        <v>3500</v>
      </c>
      <c r="J248" s="2" t="s">
        <v>92</v>
      </c>
      <c r="K248" s="2" t="s">
        <v>17</v>
      </c>
      <c r="L248" s="4">
        <f t="shared" si="6"/>
        <v>3500</v>
      </c>
      <c r="M248" t="str">
        <f t="shared" si="7"/>
        <v>Counted</v>
      </c>
    </row>
    <row r="249" spans="1:13" x14ac:dyDescent="0.25">
      <c r="A249" s="2" t="s">
        <v>438</v>
      </c>
      <c r="B249" s="3">
        <v>46333</v>
      </c>
      <c r="C249" s="3" t="s">
        <v>850</v>
      </c>
      <c r="D249" s="2" t="s">
        <v>19</v>
      </c>
      <c r="E249" s="2" t="s">
        <v>193</v>
      </c>
      <c r="F249" s="2" t="s">
        <v>114</v>
      </c>
      <c r="G249" s="2" t="s">
        <v>36</v>
      </c>
      <c r="H249" s="2">
        <v>1</v>
      </c>
      <c r="I249" s="4">
        <v>9500</v>
      </c>
      <c r="J249" s="2" t="s">
        <v>16</v>
      </c>
      <c r="K249" s="2" t="s">
        <v>42</v>
      </c>
      <c r="L249" s="4">
        <f t="shared" si="6"/>
        <v>9500</v>
      </c>
      <c r="M249" t="str">
        <f t="shared" si="7"/>
        <v>Not Counted</v>
      </c>
    </row>
    <row r="250" spans="1:13" x14ac:dyDescent="0.25">
      <c r="A250" s="2" t="s">
        <v>439</v>
      </c>
      <c r="B250" s="3">
        <v>46333</v>
      </c>
      <c r="C250" s="3" t="s">
        <v>850</v>
      </c>
      <c r="D250" s="2" t="s">
        <v>24</v>
      </c>
      <c r="E250" s="2" t="s">
        <v>440</v>
      </c>
      <c r="F250" s="2" t="s">
        <v>68</v>
      </c>
      <c r="G250" s="2" t="s">
        <v>41</v>
      </c>
      <c r="H250" s="2">
        <v>1</v>
      </c>
      <c r="I250" s="4">
        <v>1500</v>
      </c>
      <c r="J250" s="2" t="s">
        <v>16</v>
      </c>
      <c r="K250" s="2" t="s">
        <v>17</v>
      </c>
      <c r="L250" s="4">
        <f t="shared" si="6"/>
        <v>1500</v>
      </c>
      <c r="M250" t="str">
        <f t="shared" si="7"/>
        <v>Counted</v>
      </c>
    </row>
    <row r="251" spans="1:13" x14ac:dyDescent="0.25">
      <c r="A251" s="2" t="s">
        <v>441</v>
      </c>
      <c r="B251" s="3">
        <v>46333</v>
      </c>
      <c r="C251" s="3" t="s">
        <v>850</v>
      </c>
      <c r="D251" s="2" t="s">
        <v>30</v>
      </c>
      <c r="E251" s="2" t="s">
        <v>401</v>
      </c>
      <c r="F251" s="2" t="s">
        <v>21</v>
      </c>
      <c r="G251" s="2" t="s">
        <v>15</v>
      </c>
      <c r="H251" s="2">
        <v>1</v>
      </c>
      <c r="I251" s="4">
        <v>62000</v>
      </c>
      <c r="J251" s="2" t="s">
        <v>16</v>
      </c>
      <c r="K251" s="2" t="s">
        <v>17</v>
      </c>
      <c r="L251" s="4">
        <f t="shared" si="6"/>
        <v>62000</v>
      </c>
      <c r="M251" t="str">
        <f t="shared" si="7"/>
        <v>Counted</v>
      </c>
    </row>
    <row r="252" spans="1:13" x14ac:dyDescent="0.25">
      <c r="A252" s="2" t="s">
        <v>442</v>
      </c>
      <c r="B252" s="3">
        <v>46333</v>
      </c>
      <c r="C252" s="3" t="s">
        <v>850</v>
      </c>
      <c r="D252" s="2" t="s">
        <v>24</v>
      </c>
      <c r="E252" s="2" t="s">
        <v>198</v>
      </c>
      <c r="F252" s="2" t="s">
        <v>45</v>
      </c>
      <c r="G252" s="2" t="s">
        <v>46</v>
      </c>
      <c r="H252" s="2">
        <v>1</v>
      </c>
      <c r="I252" s="4">
        <v>3500</v>
      </c>
      <c r="J252" s="2" t="s">
        <v>92</v>
      </c>
      <c r="K252" s="2" t="s">
        <v>17</v>
      </c>
      <c r="L252" s="4">
        <f t="shared" si="6"/>
        <v>3500</v>
      </c>
      <c r="M252" t="str">
        <f t="shared" si="7"/>
        <v>Counted</v>
      </c>
    </row>
    <row r="253" spans="1:13" x14ac:dyDescent="0.25">
      <c r="A253" s="2" t="s">
        <v>443</v>
      </c>
      <c r="B253" s="3">
        <v>46333</v>
      </c>
      <c r="C253" s="3" t="s">
        <v>850</v>
      </c>
      <c r="D253" s="2" t="s">
        <v>24</v>
      </c>
      <c r="E253" s="2" t="s">
        <v>58</v>
      </c>
      <c r="F253" s="2" t="s">
        <v>26</v>
      </c>
      <c r="G253" s="2" t="s">
        <v>15</v>
      </c>
      <c r="H253" s="2">
        <v>1</v>
      </c>
      <c r="I253" s="4">
        <v>24000</v>
      </c>
      <c r="J253" s="2" t="s">
        <v>37</v>
      </c>
      <c r="K253" s="2" t="s">
        <v>28</v>
      </c>
      <c r="L253" s="4">
        <f t="shared" si="6"/>
        <v>24000</v>
      </c>
      <c r="M253" t="str">
        <f t="shared" si="7"/>
        <v>Counted</v>
      </c>
    </row>
    <row r="254" spans="1:13" x14ac:dyDescent="0.25">
      <c r="A254" s="2" t="s">
        <v>444</v>
      </c>
      <c r="B254" s="3">
        <v>46333</v>
      </c>
      <c r="C254" s="3" t="s">
        <v>850</v>
      </c>
      <c r="D254" s="2" t="s">
        <v>19</v>
      </c>
      <c r="E254" s="2" t="s">
        <v>180</v>
      </c>
      <c r="F254" s="2" t="s">
        <v>243</v>
      </c>
      <c r="G254" s="2" t="s">
        <v>15</v>
      </c>
      <c r="H254" s="2">
        <v>1</v>
      </c>
      <c r="I254" s="4">
        <v>9500</v>
      </c>
      <c r="J254" s="2" t="s">
        <v>22</v>
      </c>
      <c r="K254" s="2" t="s">
        <v>17</v>
      </c>
      <c r="L254" s="4">
        <f t="shared" si="6"/>
        <v>9500</v>
      </c>
      <c r="M254" t="str">
        <f t="shared" si="7"/>
        <v>Counted</v>
      </c>
    </row>
    <row r="255" spans="1:13" x14ac:dyDescent="0.25">
      <c r="A255" s="2" t="s">
        <v>445</v>
      </c>
      <c r="B255" s="3">
        <v>46334</v>
      </c>
      <c r="C255" s="3" t="s">
        <v>850</v>
      </c>
      <c r="D255" s="2" t="s">
        <v>19</v>
      </c>
      <c r="E255" s="2" t="s">
        <v>135</v>
      </c>
      <c r="F255" s="2" t="s">
        <v>59</v>
      </c>
      <c r="G255" s="2" t="s">
        <v>53</v>
      </c>
      <c r="H255" s="2">
        <v>1</v>
      </c>
      <c r="I255" s="4">
        <v>3800</v>
      </c>
      <c r="J255" s="2" t="s">
        <v>16</v>
      </c>
      <c r="K255" s="2" t="s">
        <v>17</v>
      </c>
      <c r="L255" s="4">
        <f t="shared" si="6"/>
        <v>3800</v>
      </c>
      <c r="M255" t="str">
        <f t="shared" si="7"/>
        <v>Counted</v>
      </c>
    </row>
    <row r="256" spans="1:13" x14ac:dyDescent="0.25">
      <c r="A256" s="2" t="s">
        <v>446</v>
      </c>
      <c r="B256" s="3">
        <v>46334</v>
      </c>
      <c r="C256" s="3" t="s">
        <v>850</v>
      </c>
      <c r="D256" s="2" t="s">
        <v>24</v>
      </c>
      <c r="E256" s="2" t="s">
        <v>349</v>
      </c>
      <c r="F256" s="2" t="s">
        <v>45</v>
      </c>
      <c r="G256" s="2" t="s">
        <v>46</v>
      </c>
      <c r="H256" s="2">
        <v>1</v>
      </c>
      <c r="I256" s="4">
        <v>3500</v>
      </c>
      <c r="J256" s="2" t="s">
        <v>16</v>
      </c>
      <c r="K256" s="2" t="s">
        <v>17</v>
      </c>
      <c r="L256" s="4">
        <f t="shared" si="6"/>
        <v>3500</v>
      </c>
      <c r="M256" t="str">
        <f t="shared" si="7"/>
        <v>Counted</v>
      </c>
    </row>
    <row r="257" spans="1:13" x14ac:dyDescent="0.25">
      <c r="A257" s="2" t="s">
        <v>447</v>
      </c>
      <c r="B257" s="3">
        <v>46334</v>
      </c>
      <c r="C257" s="3" t="s">
        <v>850</v>
      </c>
      <c r="D257" s="2" t="s">
        <v>19</v>
      </c>
      <c r="E257" s="2" t="s">
        <v>151</v>
      </c>
      <c r="F257" s="2" t="s">
        <v>114</v>
      </c>
      <c r="G257" s="2" t="s">
        <v>36</v>
      </c>
      <c r="H257" s="2">
        <v>1</v>
      </c>
      <c r="I257" s="4">
        <v>9500</v>
      </c>
      <c r="J257" s="2" t="s">
        <v>16</v>
      </c>
      <c r="K257" s="2" t="s">
        <v>17</v>
      </c>
      <c r="L257" s="4">
        <f t="shared" si="6"/>
        <v>9500</v>
      </c>
      <c r="M257" t="str">
        <f t="shared" si="7"/>
        <v>Counted</v>
      </c>
    </row>
    <row r="258" spans="1:13" x14ac:dyDescent="0.25">
      <c r="A258" s="2" t="s">
        <v>448</v>
      </c>
      <c r="B258" s="3">
        <v>46334</v>
      </c>
      <c r="C258" s="3" t="s">
        <v>850</v>
      </c>
      <c r="D258" s="2" t="s">
        <v>12</v>
      </c>
      <c r="E258" s="2" t="s">
        <v>77</v>
      </c>
      <c r="F258" s="2" t="s">
        <v>14</v>
      </c>
      <c r="G258" s="2" t="s">
        <v>15</v>
      </c>
      <c r="H258" s="2">
        <v>1</v>
      </c>
      <c r="I258" s="4">
        <v>65000</v>
      </c>
      <c r="J258" s="2" t="s">
        <v>92</v>
      </c>
      <c r="K258" s="2" t="s">
        <v>28</v>
      </c>
      <c r="L258" s="4">
        <f t="shared" ref="L258:L321" si="8">H258*I258</f>
        <v>65000</v>
      </c>
      <c r="M258" t="str">
        <f t="shared" si="7"/>
        <v>Counted</v>
      </c>
    </row>
    <row r="259" spans="1:13" x14ac:dyDescent="0.25">
      <c r="A259" s="2" t="s">
        <v>449</v>
      </c>
      <c r="B259" s="3">
        <v>46334</v>
      </c>
      <c r="C259" s="3" t="s">
        <v>850</v>
      </c>
      <c r="D259" s="2" t="s">
        <v>12</v>
      </c>
      <c r="E259" s="2" t="s">
        <v>372</v>
      </c>
      <c r="F259" s="2" t="s">
        <v>102</v>
      </c>
      <c r="G259" s="2" t="s">
        <v>53</v>
      </c>
      <c r="H259" s="2">
        <v>1</v>
      </c>
      <c r="I259" s="4">
        <v>12500</v>
      </c>
      <c r="J259" s="2" t="s">
        <v>16</v>
      </c>
      <c r="K259" s="2" t="s">
        <v>107</v>
      </c>
      <c r="L259" s="4">
        <f t="shared" si="8"/>
        <v>12500</v>
      </c>
      <c r="M259" t="str">
        <f t="shared" ref="M259:M322" si="9">IF(OR(K259="Cancelled",K259="Returned"),"Not Counted","Counted")</f>
        <v>Not Counted</v>
      </c>
    </row>
    <row r="260" spans="1:13" x14ac:dyDescent="0.25">
      <c r="A260" s="2" t="s">
        <v>450</v>
      </c>
      <c r="B260" s="3">
        <v>46334</v>
      </c>
      <c r="C260" s="3" t="s">
        <v>850</v>
      </c>
      <c r="D260" s="2" t="s">
        <v>30</v>
      </c>
      <c r="E260" s="2" t="s">
        <v>295</v>
      </c>
      <c r="F260" s="2" t="s">
        <v>84</v>
      </c>
      <c r="G260" s="2" t="s">
        <v>53</v>
      </c>
      <c r="H260" s="2">
        <v>1</v>
      </c>
      <c r="I260" s="4">
        <v>22000</v>
      </c>
      <c r="J260" s="2" t="s">
        <v>22</v>
      </c>
      <c r="K260" s="2" t="s">
        <v>17</v>
      </c>
      <c r="L260" s="4">
        <f t="shared" si="8"/>
        <v>22000</v>
      </c>
      <c r="M260" t="str">
        <f t="shared" si="9"/>
        <v>Counted</v>
      </c>
    </row>
    <row r="261" spans="1:13" x14ac:dyDescent="0.25">
      <c r="A261" s="2" t="s">
        <v>451</v>
      </c>
      <c r="B261" s="3">
        <v>46335</v>
      </c>
      <c r="C261" s="3" t="s">
        <v>850</v>
      </c>
      <c r="D261" s="2" t="s">
        <v>19</v>
      </c>
      <c r="E261" s="2" t="s">
        <v>364</v>
      </c>
      <c r="F261" s="2" t="s">
        <v>45</v>
      </c>
      <c r="G261" s="2" t="s">
        <v>46</v>
      </c>
      <c r="H261" s="2">
        <v>1</v>
      </c>
      <c r="I261" s="4">
        <v>3500</v>
      </c>
      <c r="J261" s="2" t="s">
        <v>37</v>
      </c>
      <c r="K261" s="2" t="s">
        <v>17</v>
      </c>
      <c r="L261" s="4">
        <f t="shared" si="8"/>
        <v>3500</v>
      </c>
      <c r="M261" t="str">
        <f t="shared" si="9"/>
        <v>Counted</v>
      </c>
    </row>
    <row r="262" spans="1:13" x14ac:dyDescent="0.25">
      <c r="A262" s="2" t="s">
        <v>452</v>
      </c>
      <c r="B262" s="3">
        <v>46335</v>
      </c>
      <c r="C262" s="3" t="s">
        <v>850</v>
      </c>
      <c r="D262" s="2" t="s">
        <v>12</v>
      </c>
      <c r="E262" s="2" t="s">
        <v>435</v>
      </c>
      <c r="F262" s="2" t="s">
        <v>117</v>
      </c>
      <c r="G262" s="2" t="s">
        <v>46</v>
      </c>
      <c r="H262" s="2">
        <v>3</v>
      </c>
      <c r="I262" s="4">
        <v>2800</v>
      </c>
      <c r="J262" s="2" t="s">
        <v>22</v>
      </c>
      <c r="K262" s="2" t="s">
        <v>17</v>
      </c>
      <c r="L262" s="4">
        <f t="shared" si="8"/>
        <v>8400</v>
      </c>
      <c r="M262" t="str">
        <f t="shared" si="9"/>
        <v>Counted</v>
      </c>
    </row>
    <row r="263" spans="1:13" x14ac:dyDescent="0.25">
      <c r="A263" s="2" t="s">
        <v>453</v>
      </c>
      <c r="B263" s="3">
        <v>46335</v>
      </c>
      <c r="C263" s="3" t="s">
        <v>850</v>
      </c>
      <c r="D263" s="2" t="s">
        <v>30</v>
      </c>
      <c r="E263" s="2" t="s">
        <v>454</v>
      </c>
      <c r="F263" s="2" t="s">
        <v>32</v>
      </c>
      <c r="G263" s="2" t="s">
        <v>15</v>
      </c>
      <c r="H263" s="2">
        <v>1</v>
      </c>
      <c r="I263" s="4">
        <v>52000</v>
      </c>
      <c r="J263" s="2" t="s">
        <v>16</v>
      </c>
      <c r="K263" s="2" t="s">
        <v>17</v>
      </c>
      <c r="L263" s="4">
        <f t="shared" si="8"/>
        <v>52000</v>
      </c>
      <c r="M263" t="str">
        <f t="shared" si="9"/>
        <v>Counted</v>
      </c>
    </row>
    <row r="264" spans="1:13" x14ac:dyDescent="0.25">
      <c r="A264" s="2" t="s">
        <v>455</v>
      </c>
      <c r="B264" s="3">
        <v>46335</v>
      </c>
      <c r="C264" s="3" t="s">
        <v>850</v>
      </c>
      <c r="D264" s="2" t="s">
        <v>12</v>
      </c>
      <c r="E264" s="2" t="s">
        <v>406</v>
      </c>
      <c r="F264" s="2" t="s">
        <v>191</v>
      </c>
      <c r="G264" s="2" t="s">
        <v>41</v>
      </c>
      <c r="H264" s="2">
        <v>2</v>
      </c>
      <c r="I264" s="4">
        <v>1800</v>
      </c>
      <c r="J264" s="2" t="s">
        <v>22</v>
      </c>
      <c r="K264" s="2" t="s">
        <v>17</v>
      </c>
      <c r="L264" s="4">
        <f t="shared" si="8"/>
        <v>3600</v>
      </c>
      <c r="M264" t="str">
        <f t="shared" si="9"/>
        <v>Counted</v>
      </c>
    </row>
    <row r="265" spans="1:13" x14ac:dyDescent="0.25">
      <c r="A265" s="2" t="s">
        <v>456</v>
      </c>
      <c r="B265" s="3">
        <v>46335</v>
      </c>
      <c r="C265" s="3" t="s">
        <v>850</v>
      </c>
      <c r="D265" s="2" t="s">
        <v>19</v>
      </c>
      <c r="E265" s="2" t="s">
        <v>415</v>
      </c>
      <c r="F265" s="2" t="s">
        <v>65</v>
      </c>
      <c r="G265" s="2" t="s">
        <v>36</v>
      </c>
      <c r="H265" s="2">
        <v>2</v>
      </c>
      <c r="I265" s="4">
        <v>28000</v>
      </c>
      <c r="J265" s="2" t="s">
        <v>16</v>
      </c>
      <c r="K265" s="2" t="s">
        <v>107</v>
      </c>
      <c r="L265" s="4">
        <f t="shared" si="8"/>
        <v>56000</v>
      </c>
      <c r="M265" t="str">
        <f t="shared" si="9"/>
        <v>Not Counted</v>
      </c>
    </row>
    <row r="266" spans="1:13" x14ac:dyDescent="0.25">
      <c r="A266" s="2" t="s">
        <v>457</v>
      </c>
      <c r="B266" s="3">
        <v>46335</v>
      </c>
      <c r="C266" s="3" t="s">
        <v>850</v>
      </c>
      <c r="D266" s="2" t="s">
        <v>24</v>
      </c>
      <c r="E266" s="2" t="s">
        <v>391</v>
      </c>
      <c r="F266" s="2" t="s">
        <v>62</v>
      </c>
      <c r="G266" s="2" t="s">
        <v>41</v>
      </c>
      <c r="H266" s="2">
        <v>2</v>
      </c>
      <c r="I266" s="4">
        <v>2200</v>
      </c>
      <c r="J266" s="2" t="s">
        <v>16</v>
      </c>
      <c r="K266" s="2" t="s">
        <v>28</v>
      </c>
      <c r="L266" s="4">
        <f t="shared" si="8"/>
        <v>4400</v>
      </c>
      <c r="M266" t="str">
        <f t="shared" si="9"/>
        <v>Counted</v>
      </c>
    </row>
    <row r="267" spans="1:13" x14ac:dyDescent="0.25">
      <c r="A267" s="2" t="s">
        <v>458</v>
      </c>
      <c r="B267" s="3">
        <v>46335</v>
      </c>
      <c r="C267" s="3" t="s">
        <v>850</v>
      </c>
      <c r="D267" s="2" t="s">
        <v>24</v>
      </c>
      <c r="E267" s="2" t="s">
        <v>64</v>
      </c>
      <c r="F267" s="2" t="s">
        <v>102</v>
      </c>
      <c r="G267" s="2" t="s">
        <v>53</v>
      </c>
      <c r="H267" s="2">
        <v>1</v>
      </c>
      <c r="I267" s="4">
        <v>12500</v>
      </c>
      <c r="J267" s="2" t="s">
        <v>16</v>
      </c>
      <c r="K267" s="2" t="s">
        <v>107</v>
      </c>
      <c r="L267" s="4">
        <f t="shared" si="8"/>
        <v>12500</v>
      </c>
      <c r="M267" t="str">
        <f t="shared" si="9"/>
        <v>Not Counted</v>
      </c>
    </row>
    <row r="268" spans="1:13" x14ac:dyDescent="0.25">
      <c r="A268" s="2" t="s">
        <v>459</v>
      </c>
      <c r="B268" s="3">
        <v>46335</v>
      </c>
      <c r="C268" s="3" t="s">
        <v>850</v>
      </c>
      <c r="D268" s="2" t="s">
        <v>30</v>
      </c>
      <c r="E268" s="2" t="s">
        <v>460</v>
      </c>
      <c r="F268" s="2" t="s">
        <v>35</v>
      </c>
      <c r="G268" s="2" t="s">
        <v>36</v>
      </c>
      <c r="H268" s="2">
        <v>1</v>
      </c>
      <c r="I268" s="4">
        <v>12000</v>
      </c>
      <c r="J268" s="2" t="s">
        <v>27</v>
      </c>
      <c r="K268" s="2" t="s">
        <v>28</v>
      </c>
      <c r="L268" s="4">
        <f t="shared" si="8"/>
        <v>12000</v>
      </c>
      <c r="M268" t="str">
        <f t="shared" si="9"/>
        <v>Counted</v>
      </c>
    </row>
    <row r="269" spans="1:13" x14ac:dyDescent="0.25">
      <c r="A269" s="2" t="s">
        <v>461</v>
      </c>
      <c r="B269" s="3">
        <v>46335</v>
      </c>
      <c r="C269" s="3" t="s">
        <v>850</v>
      </c>
      <c r="D269" s="2" t="s">
        <v>24</v>
      </c>
      <c r="E269" s="2" t="s">
        <v>81</v>
      </c>
      <c r="F269" s="2" t="s">
        <v>59</v>
      </c>
      <c r="G269" s="2" t="s">
        <v>53</v>
      </c>
      <c r="H269" s="2">
        <v>2</v>
      </c>
      <c r="I269" s="4">
        <v>3800</v>
      </c>
      <c r="J269" s="2" t="s">
        <v>22</v>
      </c>
      <c r="K269" s="2" t="s">
        <v>107</v>
      </c>
      <c r="L269" s="4">
        <f t="shared" si="8"/>
        <v>7600</v>
      </c>
      <c r="M269" t="str">
        <f t="shared" si="9"/>
        <v>Not Counted</v>
      </c>
    </row>
    <row r="270" spans="1:13" x14ac:dyDescent="0.25">
      <c r="A270" s="2" t="s">
        <v>462</v>
      </c>
      <c r="B270" s="3">
        <v>46336</v>
      </c>
      <c r="C270" s="3" t="s">
        <v>850</v>
      </c>
      <c r="D270" s="2" t="s">
        <v>12</v>
      </c>
      <c r="E270" s="2" t="s">
        <v>463</v>
      </c>
      <c r="F270" s="2" t="s">
        <v>102</v>
      </c>
      <c r="G270" s="2" t="s">
        <v>53</v>
      </c>
      <c r="H270" s="2">
        <v>1</v>
      </c>
      <c r="I270" s="4">
        <v>12500</v>
      </c>
      <c r="J270" s="2" t="s">
        <v>92</v>
      </c>
      <c r="K270" s="2" t="s">
        <v>17</v>
      </c>
      <c r="L270" s="4">
        <f t="shared" si="8"/>
        <v>12500</v>
      </c>
      <c r="M270" t="str">
        <f t="shared" si="9"/>
        <v>Counted</v>
      </c>
    </row>
    <row r="271" spans="1:13" x14ac:dyDescent="0.25">
      <c r="A271" s="2" t="s">
        <v>464</v>
      </c>
      <c r="B271" s="3">
        <v>46336</v>
      </c>
      <c r="C271" s="3" t="s">
        <v>850</v>
      </c>
      <c r="D271" s="2" t="s">
        <v>30</v>
      </c>
      <c r="E271" s="2" t="s">
        <v>374</v>
      </c>
      <c r="F271" s="2" t="s">
        <v>40</v>
      </c>
      <c r="G271" s="2" t="s">
        <v>41</v>
      </c>
      <c r="H271" s="2">
        <v>2</v>
      </c>
      <c r="I271" s="4">
        <v>2400</v>
      </c>
      <c r="J271" s="2" t="s">
        <v>22</v>
      </c>
      <c r="K271" s="2" t="s">
        <v>107</v>
      </c>
      <c r="L271" s="4">
        <f t="shared" si="8"/>
        <v>4800</v>
      </c>
      <c r="M271" t="str">
        <f t="shared" si="9"/>
        <v>Not Counted</v>
      </c>
    </row>
    <row r="272" spans="1:13" x14ac:dyDescent="0.25">
      <c r="A272" s="2" t="s">
        <v>465</v>
      </c>
      <c r="B272" s="3">
        <v>46336</v>
      </c>
      <c r="C272" s="3" t="s">
        <v>850</v>
      </c>
      <c r="D272" s="2" t="s">
        <v>19</v>
      </c>
      <c r="E272" s="2" t="s">
        <v>466</v>
      </c>
      <c r="F272" s="2" t="s">
        <v>95</v>
      </c>
      <c r="G272" s="2" t="s">
        <v>15</v>
      </c>
      <c r="H272" s="2">
        <v>1</v>
      </c>
      <c r="I272" s="4">
        <v>58000</v>
      </c>
      <c r="J272" s="2" t="s">
        <v>22</v>
      </c>
      <c r="K272" s="2" t="s">
        <v>17</v>
      </c>
      <c r="L272" s="4">
        <f t="shared" si="8"/>
        <v>58000</v>
      </c>
      <c r="M272" t="str">
        <f t="shared" si="9"/>
        <v>Counted</v>
      </c>
    </row>
    <row r="273" spans="1:13" x14ac:dyDescent="0.25">
      <c r="A273" s="2" t="s">
        <v>467</v>
      </c>
      <c r="B273" s="3">
        <v>46336</v>
      </c>
      <c r="C273" s="3" t="s">
        <v>850</v>
      </c>
      <c r="D273" s="2" t="s">
        <v>24</v>
      </c>
      <c r="E273" s="2" t="s">
        <v>468</v>
      </c>
      <c r="F273" s="2" t="s">
        <v>243</v>
      </c>
      <c r="G273" s="2" t="s">
        <v>15</v>
      </c>
      <c r="H273" s="2">
        <v>2</v>
      </c>
      <c r="I273" s="4">
        <v>9500</v>
      </c>
      <c r="J273" s="2" t="s">
        <v>92</v>
      </c>
      <c r="K273" s="2" t="s">
        <v>17</v>
      </c>
      <c r="L273" s="4">
        <f t="shared" si="8"/>
        <v>19000</v>
      </c>
      <c r="M273" t="str">
        <f t="shared" si="9"/>
        <v>Counted</v>
      </c>
    </row>
    <row r="274" spans="1:13" x14ac:dyDescent="0.25">
      <c r="A274" s="2" t="s">
        <v>469</v>
      </c>
      <c r="B274" s="3">
        <v>46336</v>
      </c>
      <c r="C274" s="3" t="s">
        <v>850</v>
      </c>
      <c r="D274" s="2" t="s">
        <v>30</v>
      </c>
      <c r="E274" s="2" t="s">
        <v>470</v>
      </c>
      <c r="F274" s="2" t="s">
        <v>87</v>
      </c>
      <c r="G274" s="2" t="s">
        <v>46</v>
      </c>
      <c r="H274" s="2">
        <v>2</v>
      </c>
      <c r="I274" s="4">
        <v>1600</v>
      </c>
      <c r="J274" s="2" t="s">
        <v>22</v>
      </c>
      <c r="K274" s="2" t="s">
        <v>42</v>
      </c>
      <c r="L274" s="4">
        <f t="shared" si="8"/>
        <v>3200</v>
      </c>
      <c r="M274" t="str">
        <f t="shared" si="9"/>
        <v>Not Counted</v>
      </c>
    </row>
    <row r="275" spans="1:13" x14ac:dyDescent="0.25">
      <c r="A275" s="2" t="s">
        <v>471</v>
      </c>
      <c r="B275" s="3">
        <v>46337</v>
      </c>
      <c r="C275" s="3" t="s">
        <v>850</v>
      </c>
      <c r="D275" s="2" t="s">
        <v>12</v>
      </c>
      <c r="E275" s="2" t="s">
        <v>149</v>
      </c>
      <c r="F275" s="2" t="s">
        <v>73</v>
      </c>
      <c r="G275" s="2" t="s">
        <v>15</v>
      </c>
      <c r="H275" s="2">
        <v>1</v>
      </c>
      <c r="I275" s="4">
        <v>18000</v>
      </c>
      <c r="J275" s="2" t="s">
        <v>16</v>
      </c>
      <c r="K275" s="2" t="s">
        <v>28</v>
      </c>
      <c r="L275" s="4">
        <f t="shared" si="8"/>
        <v>18000</v>
      </c>
      <c r="M275" t="str">
        <f t="shared" si="9"/>
        <v>Counted</v>
      </c>
    </row>
    <row r="276" spans="1:13" x14ac:dyDescent="0.25">
      <c r="A276" s="2" t="s">
        <v>472</v>
      </c>
      <c r="B276" s="3">
        <v>46337</v>
      </c>
      <c r="C276" s="3" t="s">
        <v>850</v>
      </c>
      <c r="D276" s="2" t="s">
        <v>30</v>
      </c>
      <c r="E276" s="2" t="s">
        <v>20</v>
      </c>
      <c r="F276" s="2" t="s">
        <v>26</v>
      </c>
      <c r="G276" s="2" t="s">
        <v>15</v>
      </c>
      <c r="H276" s="2">
        <v>1</v>
      </c>
      <c r="I276" s="4">
        <v>24000</v>
      </c>
      <c r="J276" s="2" t="s">
        <v>37</v>
      </c>
      <c r="K276" s="2" t="s">
        <v>107</v>
      </c>
      <c r="L276" s="4">
        <f t="shared" si="8"/>
        <v>24000</v>
      </c>
      <c r="M276" t="str">
        <f t="shared" si="9"/>
        <v>Not Counted</v>
      </c>
    </row>
    <row r="277" spans="1:13" x14ac:dyDescent="0.25">
      <c r="A277" s="2" t="s">
        <v>473</v>
      </c>
      <c r="B277" s="3">
        <v>46337</v>
      </c>
      <c r="C277" s="3" t="s">
        <v>850</v>
      </c>
      <c r="D277" s="2" t="s">
        <v>19</v>
      </c>
      <c r="E277" s="2" t="s">
        <v>81</v>
      </c>
      <c r="F277" s="2" t="s">
        <v>133</v>
      </c>
      <c r="G277" s="2" t="s">
        <v>15</v>
      </c>
      <c r="H277" s="2">
        <v>1</v>
      </c>
      <c r="I277" s="4">
        <v>1800</v>
      </c>
      <c r="J277" s="2" t="s">
        <v>92</v>
      </c>
      <c r="K277" s="2" t="s">
        <v>28</v>
      </c>
      <c r="L277" s="4">
        <f t="shared" si="8"/>
        <v>1800</v>
      </c>
      <c r="M277" t="str">
        <f t="shared" si="9"/>
        <v>Counted</v>
      </c>
    </row>
    <row r="278" spans="1:13" x14ac:dyDescent="0.25">
      <c r="A278" s="2" t="s">
        <v>474</v>
      </c>
      <c r="B278" s="3">
        <v>46337</v>
      </c>
      <c r="C278" s="3" t="s">
        <v>850</v>
      </c>
      <c r="D278" s="2" t="s">
        <v>12</v>
      </c>
      <c r="E278" s="2" t="s">
        <v>70</v>
      </c>
      <c r="F278" s="2" t="s">
        <v>114</v>
      </c>
      <c r="G278" s="2" t="s">
        <v>36</v>
      </c>
      <c r="H278" s="2">
        <v>1</v>
      </c>
      <c r="I278" s="4">
        <v>9500</v>
      </c>
      <c r="J278" s="2" t="s">
        <v>22</v>
      </c>
      <c r="K278" s="2" t="s">
        <v>17</v>
      </c>
      <c r="L278" s="4">
        <f t="shared" si="8"/>
        <v>9500</v>
      </c>
      <c r="M278" t="str">
        <f t="shared" si="9"/>
        <v>Counted</v>
      </c>
    </row>
    <row r="279" spans="1:13" x14ac:dyDescent="0.25">
      <c r="A279" s="2" t="s">
        <v>475</v>
      </c>
      <c r="B279" s="3">
        <v>46337</v>
      </c>
      <c r="C279" s="3" t="s">
        <v>850</v>
      </c>
      <c r="D279" s="2" t="s">
        <v>12</v>
      </c>
      <c r="E279" s="2" t="s">
        <v>277</v>
      </c>
      <c r="F279" s="2" t="s">
        <v>49</v>
      </c>
      <c r="G279" s="2" t="s">
        <v>46</v>
      </c>
      <c r="H279" s="2">
        <v>2</v>
      </c>
      <c r="I279" s="4">
        <v>5000</v>
      </c>
      <c r="J279" s="2" t="s">
        <v>16</v>
      </c>
      <c r="K279" s="2" t="s">
        <v>42</v>
      </c>
      <c r="L279" s="4">
        <f t="shared" si="8"/>
        <v>10000</v>
      </c>
      <c r="M279" t="str">
        <f t="shared" si="9"/>
        <v>Not Counted</v>
      </c>
    </row>
    <row r="280" spans="1:13" x14ac:dyDescent="0.25">
      <c r="A280" s="2" t="s">
        <v>476</v>
      </c>
      <c r="B280" s="3">
        <v>46338</v>
      </c>
      <c r="C280" s="3" t="s">
        <v>850</v>
      </c>
      <c r="D280" s="2" t="s">
        <v>19</v>
      </c>
      <c r="E280" s="2" t="s">
        <v>412</v>
      </c>
      <c r="F280" s="2" t="s">
        <v>21</v>
      </c>
      <c r="G280" s="2" t="s">
        <v>15</v>
      </c>
      <c r="H280" s="2">
        <v>2</v>
      </c>
      <c r="I280" s="4">
        <v>62000</v>
      </c>
      <c r="J280" s="2" t="s">
        <v>22</v>
      </c>
      <c r="K280" s="2" t="s">
        <v>28</v>
      </c>
      <c r="L280" s="4">
        <f t="shared" si="8"/>
        <v>124000</v>
      </c>
      <c r="M280" t="str">
        <f t="shared" si="9"/>
        <v>Counted</v>
      </c>
    </row>
    <row r="281" spans="1:13" x14ac:dyDescent="0.25">
      <c r="A281" s="2" t="s">
        <v>477</v>
      </c>
      <c r="B281" s="3">
        <v>46338</v>
      </c>
      <c r="C281" s="3" t="s">
        <v>850</v>
      </c>
      <c r="D281" s="2" t="s">
        <v>12</v>
      </c>
      <c r="E281" s="2" t="s">
        <v>460</v>
      </c>
      <c r="F281" s="2" t="s">
        <v>114</v>
      </c>
      <c r="G281" s="2" t="s">
        <v>36</v>
      </c>
      <c r="H281" s="2">
        <v>2</v>
      </c>
      <c r="I281" s="4">
        <v>9500</v>
      </c>
      <c r="J281" s="2" t="s">
        <v>16</v>
      </c>
      <c r="K281" s="2" t="s">
        <v>17</v>
      </c>
      <c r="L281" s="4">
        <f t="shared" si="8"/>
        <v>19000</v>
      </c>
      <c r="M281" t="str">
        <f t="shared" si="9"/>
        <v>Counted</v>
      </c>
    </row>
    <row r="282" spans="1:13" x14ac:dyDescent="0.25">
      <c r="A282" s="2" t="s">
        <v>478</v>
      </c>
      <c r="B282" s="3">
        <v>46338</v>
      </c>
      <c r="C282" s="3" t="s">
        <v>850</v>
      </c>
      <c r="D282" s="2" t="s">
        <v>19</v>
      </c>
      <c r="E282" s="2" t="s">
        <v>479</v>
      </c>
      <c r="F282" s="2" t="s">
        <v>65</v>
      </c>
      <c r="G282" s="2" t="s">
        <v>36</v>
      </c>
      <c r="H282" s="2">
        <v>1</v>
      </c>
      <c r="I282" s="4">
        <v>28000</v>
      </c>
      <c r="J282" s="2" t="s">
        <v>37</v>
      </c>
      <c r="K282" s="2" t="s">
        <v>17</v>
      </c>
      <c r="L282" s="4">
        <f t="shared" si="8"/>
        <v>28000</v>
      </c>
      <c r="M282" t="str">
        <f t="shared" si="9"/>
        <v>Counted</v>
      </c>
    </row>
    <row r="283" spans="1:13" x14ac:dyDescent="0.25">
      <c r="A283" s="2" t="s">
        <v>480</v>
      </c>
      <c r="B283" s="3">
        <v>46338</v>
      </c>
      <c r="C283" s="3" t="s">
        <v>850</v>
      </c>
      <c r="D283" s="2" t="s">
        <v>24</v>
      </c>
      <c r="E283" s="2" t="s">
        <v>349</v>
      </c>
      <c r="F283" s="2" t="s">
        <v>243</v>
      </c>
      <c r="G283" s="2" t="s">
        <v>15</v>
      </c>
      <c r="H283" s="2">
        <v>2</v>
      </c>
      <c r="I283" s="4">
        <v>9500</v>
      </c>
      <c r="J283" s="2" t="s">
        <v>27</v>
      </c>
      <c r="K283" s="2" t="s">
        <v>17</v>
      </c>
      <c r="L283" s="4">
        <f t="shared" si="8"/>
        <v>19000</v>
      </c>
      <c r="M283" t="str">
        <f t="shared" si="9"/>
        <v>Counted</v>
      </c>
    </row>
    <row r="284" spans="1:13" x14ac:dyDescent="0.25">
      <c r="A284" s="2" t="s">
        <v>481</v>
      </c>
      <c r="B284" s="3">
        <v>46338</v>
      </c>
      <c r="C284" s="3" t="s">
        <v>850</v>
      </c>
      <c r="D284" s="2" t="s">
        <v>24</v>
      </c>
      <c r="E284" s="2" t="s">
        <v>139</v>
      </c>
      <c r="F284" s="2" t="s">
        <v>59</v>
      </c>
      <c r="G284" s="2" t="s">
        <v>53</v>
      </c>
      <c r="H284" s="2">
        <v>1</v>
      </c>
      <c r="I284" s="4">
        <v>3800</v>
      </c>
      <c r="J284" s="2" t="s">
        <v>16</v>
      </c>
      <c r="K284" s="2" t="s">
        <v>28</v>
      </c>
      <c r="L284" s="4">
        <f t="shared" si="8"/>
        <v>3800</v>
      </c>
      <c r="M284" t="str">
        <f t="shared" si="9"/>
        <v>Counted</v>
      </c>
    </row>
    <row r="285" spans="1:13" x14ac:dyDescent="0.25">
      <c r="A285" s="2" t="s">
        <v>482</v>
      </c>
      <c r="B285" s="3">
        <v>46338</v>
      </c>
      <c r="C285" s="3" t="s">
        <v>850</v>
      </c>
      <c r="D285" s="2" t="s">
        <v>19</v>
      </c>
      <c r="E285" s="2" t="s">
        <v>483</v>
      </c>
      <c r="F285" s="2" t="s">
        <v>133</v>
      </c>
      <c r="G285" s="2" t="s">
        <v>15</v>
      </c>
      <c r="H285" s="2">
        <v>1</v>
      </c>
      <c r="I285" s="4">
        <v>1800</v>
      </c>
      <c r="J285" s="2" t="s">
        <v>16</v>
      </c>
      <c r="K285" s="2" t="s">
        <v>17</v>
      </c>
      <c r="L285" s="4">
        <f t="shared" si="8"/>
        <v>1800</v>
      </c>
      <c r="M285" t="str">
        <f t="shared" si="9"/>
        <v>Counted</v>
      </c>
    </row>
    <row r="286" spans="1:13" x14ac:dyDescent="0.25">
      <c r="A286" s="2" t="s">
        <v>484</v>
      </c>
      <c r="B286" s="3">
        <v>46338</v>
      </c>
      <c r="C286" s="3" t="s">
        <v>850</v>
      </c>
      <c r="D286" s="2" t="s">
        <v>30</v>
      </c>
      <c r="E286" s="2" t="s">
        <v>81</v>
      </c>
      <c r="F286" s="2" t="s">
        <v>52</v>
      </c>
      <c r="G286" s="2" t="s">
        <v>53</v>
      </c>
      <c r="H286" s="2">
        <v>1</v>
      </c>
      <c r="I286" s="4">
        <v>8500</v>
      </c>
      <c r="J286" s="2" t="s">
        <v>22</v>
      </c>
      <c r="K286" s="2" t="s">
        <v>17</v>
      </c>
      <c r="L286" s="4">
        <f t="shared" si="8"/>
        <v>8500</v>
      </c>
      <c r="M286" t="str">
        <f t="shared" si="9"/>
        <v>Counted</v>
      </c>
    </row>
    <row r="287" spans="1:13" x14ac:dyDescent="0.25">
      <c r="A287" s="2" t="s">
        <v>485</v>
      </c>
      <c r="B287" s="3">
        <v>46339</v>
      </c>
      <c r="C287" s="3" t="s">
        <v>850</v>
      </c>
      <c r="D287" s="2" t="s">
        <v>19</v>
      </c>
      <c r="E287" s="2" t="s">
        <v>385</v>
      </c>
      <c r="F287" s="2" t="s">
        <v>35</v>
      </c>
      <c r="G287" s="2" t="s">
        <v>36</v>
      </c>
      <c r="H287" s="2">
        <v>1</v>
      </c>
      <c r="I287" s="4">
        <v>12000</v>
      </c>
      <c r="J287" s="2" t="s">
        <v>22</v>
      </c>
      <c r="K287" s="2" t="s">
        <v>17</v>
      </c>
      <c r="L287" s="4">
        <f t="shared" si="8"/>
        <v>12000</v>
      </c>
      <c r="M287" t="str">
        <f t="shared" si="9"/>
        <v>Counted</v>
      </c>
    </row>
    <row r="288" spans="1:13" x14ac:dyDescent="0.25">
      <c r="A288" s="2" t="s">
        <v>486</v>
      </c>
      <c r="B288" s="3">
        <v>46339</v>
      </c>
      <c r="C288" s="3" t="s">
        <v>850</v>
      </c>
      <c r="D288" s="2" t="s">
        <v>12</v>
      </c>
      <c r="E288" s="2" t="s">
        <v>132</v>
      </c>
      <c r="F288" s="2" t="s">
        <v>117</v>
      </c>
      <c r="G288" s="2" t="s">
        <v>46</v>
      </c>
      <c r="H288" s="2">
        <v>2</v>
      </c>
      <c r="I288" s="4">
        <v>2800</v>
      </c>
      <c r="J288" s="2" t="s">
        <v>92</v>
      </c>
      <c r="K288" s="2" t="s">
        <v>28</v>
      </c>
      <c r="L288" s="4">
        <f t="shared" si="8"/>
        <v>5600</v>
      </c>
      <c r="M288" t="str">
        <f t="shared" si="9"/>
        <v>Counted</v>
      </c>
    </row>
    <row r="289" spans="1:13" x14ac:dyDescent="0.25">
      <c r="A289" s="2" t="s">
        <v>487</v>
      </c>
      <c r="B289" s="3">
        <v>46339</v>
      </c>
      <c r="C289" s="3" t="s">
        <v>850</v>
      </c>
      <c r="D289" s="2" t="s">
        <v>19</v>
      </c>
      <c r="E289" s="2" t="s">
        <v>165</v>
      </c>
      <c r="F289" s="2" t="s">
        <v>21</v>
      </c>
      <c r="G289" s="2" t="s">
        <v>15</v>
      </c>
      <c r="H289" s="2">
        <v>1</v>
      </c>
      <c r="I289" s="4">
        <v>62000</v>
      </c>
      <c r="J289" s="2" t="s">
        <v>22</v>
      </c>
      <c r="K289" s="2" t="s">
        <v>28</v>
      </c>
      <c r="L289" s="4">
        <f t="shared" si="8"/>
        <v>62000</v>
      </c>
      <c r="M289" t="str">
        <f t="shared" si="9"/>
        <v>Counted</v>
      </c>
    </row>
    <row r="290" spans="1:13" x14ac:dyDescent="0.25">
      <c r="A290" s="2" t="s">
        <v>488</v>
      </c>
      <c r="B290" s="3">
        <v>46339</v>
      </c>
      <c r="C290" s="3" t="s">
        <v>850</v>
      </c>
      <c r="D290" s="2" t="s">
        <v>12</v>
      </c>
      <c r="E290" s="2" t="s">
        <v>154</v>
      </c>
      <c r="F290" s="2" t="s">
        <v>59</v>
      </c>
      <c r="G290" s="2" t="s">
        <v>53</v>
      </c>
      <c r="H290" s="2">
        <v>2</v>
      </c>
      <c r="I290" s="4">
        <v>3800</v>
      </c>
      <c r="J290" s="2" t="s">
        <v>37</v>
      </c>
      <c r="K290" s="2" t="s">
        <v>17</v>
      </c>
      <c r="L290" s="4">
        <f t="shared" si="8"/>
        <v>7600</v>
      </c>
      <c r="M290" t="str">
        <f t="shared" si="9"/>
        <v>Counted</v>
      </c>
    </row>
    <row r="291" spans="1:13" x14ac:dyDescent="0.25">
      <c r="A291" s="2" t="s">
        <v>489</v>
      </c>
      <c r="B291" s="3">
        <v>46339</v>
      </c>
      <c r="C291" s="3" t="s">
        <v>850</v>
      </c>
      <c r="D291" s="2" t="s">
        <v>30</v>
      </c>
      <c r="E291" s="2" t="s">
        <v>81</v>
      </c>
      <c r="F291" s="2" t="s">
        <v>87</v>
      </c>
      <c r="G291" s="2" t="s">
        <v>46</v>
      </c>
      <c r="H291" s="2">
        <v>1</v>
      </c>
      <c r="I291" s="4">
        <v>1600</v>
      </c>
      <c r="J291" s="2" t="s">
        <v>22</v>
      </c>
      <c r="K291" s="2" t="s">
        <v>28</v>
      </c>
      <c r="L291" s="4">
        <f t="shared" si="8"/>
        <v>1600</v>
      </c>
      <c r="M291" t="str">
        <f t="shared" si="9"/>
        <v>Counted</v>
      </c>
    </row>
    <row r="292" spans="1:13" x14ac:dyDescent="0.25">
      <c r="A292" s="2" t="s">
        <v>490</v>
      </c>
      <c r="B292" s="3">
        <v>46339</v>
      </c>
      <c r="C292" s="3" t="s">
        <v>850</v>
      </c>
      <c r="D292" s="2" t="s">
        <v>19</v>
      </c>
      <c r="E292" s="2" t="s">
        <v>491</v>
      </c>
      <c r="F292" s="2" t="s">
        <v>87</v>
      </c>
      <c r="G292" s="2" t="s">
        <v>46</v>
      </c>
      <c r="H292" s="2">
        <v>1</v>
      </c>
      <c r="I292" s="4">
        <v>1600</v>
      </c>
      <c r="J292" s="2" t="s">
        <v>16</v>
      </c>
      <c r="K292" s="2" t="s">
        <v>17</v>
      </c>
      <c r="L292" s="4">
        <f t="shared" si="8"/>
        <v>1600</v>
      </c>
      <c r="M292" t="str">
        <f t="shared" si="9"/>
        <v>Counted</v>
      </c>
    </row>
    <row r="293" spans="1:13" x14ac:dyDescent="0.25">
      <c r="A293" s="2" t="s">
        <v>492</v>
      </c>
      <c r="B293" s="3">
        <v>46340</v>
      </c>
      <c r="C293" s="3" t="s">
        <v>850</v>
      </c>
      <c r="D293" s="2" t="s">
        <v>12</v>
      </c>
      <c r="E293" s="2" t="s">
        <v>415</v>
      </c>
      <c r="F293" s="2" t="s">
        <v>243</v>
      </c>
      <c r="G293" s="2" t="s">
        <v>15</v>
      </c>
      <c r="H293" s="2">
        <v>2</v>
      </c>
      <c r="I293" s="4">
        <v>9500</v>
      </c>
      <c r="J293" s="2" t="s">
        <v>16</v>
      </c>
      <c r="K293" s="2" t="s">
        <v>28</v>
      </c>
      <c r="L293" s="4">
        <f t="shared" si="8"/>
        <v>19000</v>
      </c>
      <c r="M293" t="str">
        <f t="shared" si="9"/>
        <v>Counted</v>
      </c>
    </row>
    <row r="294" spans="1:13" x14ac:dyDescent="0.25">
      <c r="A294" s="2" t="s">
        <v>493</v>
      </c>
      <c r="B294" s="3">
        <v>46340</v>
      </c>
      <c r="C294" s="3" t="s">
        <v>850</v>
      </c>
      <c r="D294" s="2" t="s">
        <v>12</v>
      </c>
      <c r="E294" s="2" t="s">
        <v>494</v>
      </c>
      <c r="F294" s="2" t="s">
        <v>95</v>
      </c>
      <c r="G294" s="2" t="s">
        <v>15</v>
      </c>
      <c r="H294" s="2">
        <v>2</v>
      </c>
      <c r="I294" s="4">
        <v>58000</v>
      </c>
      <c r="J294" s="2" t="s">
        <v>37</v>
      </c>
      <c r="K294" s="2" t="s">
        <v>42</v>
      </c>
      <c r="L294" s="4">
        <f t="shared" si="8"/>
        <v>116000</v>
      </c>
      <c r="M294" t="str">
        <f t="shared" si="9"/>
        <v>Not Counted</v>
      </c>
    </row>
    <row r="295" spans="1:13" x14ac:dyDescent="0.25">
      <c r="A295" s="2" t="s">
        <v>495</v>
      </c>
      <c r="B295" s="3">
        <v>46340</v>
      </c>
      <c r="C295" s="3" t="s">
        <v>850</v>
      </c>
      <c r="D295" s="2" t="s">
        <v>30</v>
      </c>
      <c r="E295" s="2" t="s">
        <v>109</v>
      </c>
      <c r="F295" s="2" t="s">
        <v>243</v>
      </c>
      <c r="G295" s="2" t="s">
        <v>15</v>
      </c>
      <c r="H295" s="2">
        <v>1</v>
      </c>
      <c r="I295" s="4">
        <v>9500</v>
      </c>
      <c r="J295" s="2" t="s">
        <v>22</v>
      </c>
      <c r="K295" s="2" t="s">
        <v>17</v>
      </c>
      <c r="L295" s="4">
        <f t="shared" si="8"/>
        <v>9500</v>
      </c>
      <c r="M295" t="str">
        <f t="shared" si="9"/>
        <v>Counted</v>
      </c>
    </row>
    <row r="296" spans="1:13" x14ac:dyDescent="0.25">
      <c r="A296" s="2" t="s">
        <v>496</v>
      </c>
      <c r="B296" s="3">
        <v>46340</v>
      </c>
      <c r="C296" s="3" t="s">
        <v>850</v>
      </c>
      <c r="D296" s="2" t="s">
        <v>19</v>
      </c>
      <c r="E296" s="2" t="s">
        <v>302</v>
      </c>
      <c r="F296" s="2" t="s">
        <v>26</v>
      </c>
      <c r="G296" s="2" t="s">
        <v>15</v>
      </c>
      <c r="H296" s="2">
        <v>1</v>
      </c>
      <c r="I296" s="4">
        <v>24000</v>
      </c>
      <c r="J296" s="2" t="s">
        <v>37</v>
      </c>
      <c r="K296" s="2" t="s">
        <v>17</v>
      </c>
      <c r="L296" s="4">
        <f t="shared" si="8"/>
        <v>24000</v>
      </c>
      <c r="M296" t="str">
        <f t="shared" si="9"/>
        <v>Counted</v>
      </c>
    </row>
    <row r="297" spans="1:13" x14ac:dyDescent="0.25">
      <c r="A297" s="2" t="s">
        <v>497</v>
      </c>
      <c r="B297" s="3">
        <v>46340</v>
      </c>
      <c r="C297" s="3" t="s">
        <v>850</v>
      </c>
      <c r="D297" s="2" t="s">
        <v>19</v>
      </c>
      <c r="E297" s="2" t="s">
        <v>215</v>
      </c>
      <c r="F297" s="2" t="s">
        <v>21</v>
      </c>
      <c r="G297" s="2" t="s">
        <v>15</v>
      </c>
      <c r="H297" s="2">
        <v>1</v>
      </c>
      <c r="I297" s="4">
        <v>62000</v>
      </c>
      <c r="J297" s="2" t="s">
        <v>16</v>
      </c>
      <c r="K297" s="2" t="s">
        <v>17</v>
      </c>
      <c r="L297" s="4">
        <f t="shared" si="8"/>
        <v>62000</v>
      </c>
      <c r="M297" t="str">
        <f t="shared" si="9"/>
        <v>Counted</v>
      </c>
    </row>
    <row r="298" spans="1:13" x14ac:dyDescent="0.25">
      <c r="A298" s="2" t="s">
        <v>498</v>
      </c>
      <c r="B298" s="3">
        <v>46340</v>
      </c>
      <c r="C298" s="3" t="s">
        <v>850</v>
      </c>
      <c r="D298" s="2" t="s">
        <v>12</v>
      </c>
      <c r="E298" s="2" t="s">
        <v>113</v>
      </c>
      <c r="F298" s="2" t="s">
        <v>52</v>
      </c>
      <c r="G298" s="2" t="s">
        <v>53</v>
      </c>
      <c r="H298" s="2">
        <v>2</v>
      </c>
      <c r="I298" s="4">
        <v>8500</v>
      </c>
      <c r="J298" s="2" t="s">
        <v>22</v>
      </c>
      <c r="K298" s="2" t="s">
        <v>17</v>
      </c>
      <c r="L298" s="4">
        <f t="shared" si="8"/>
        <v>17000</v>
      </c>
      <c r="M298" t="str">
        <f t="shared" si="9"/>
        <v>Counted</v>
      </c>
    </row>
    <row r="299" spans="1:13" x14ac:dyDescent="0.25">
      <c r="A299" s="2" t="s">
        <v>499</v>
      </c>
      <c r="B299" s="3">
        <v>46340</v>
      </c>
      <c r="C299" s="3" t="s">
        <v>850</v>
      </c>
      <c r="D299" s="2" t="s">
        <v>12</v>
      </c>
      <c r="E299" s="2" t="s">
        <v>174</v>
      </c>
      <c r="F299" s="2" t="s">
        <v>243</v>
      </c>
      <c r="G299" s="2" t="s">
        <v>15</v>
      </c>
      <c r="H299" s="2">
        <v>1</v>
      </c>
      <c r="I299" s="4">
        <v>9500</v>
      </c>
      <c r="J299" s="2" t="s">
        <v>22</v>
      </c>
      <c r="K299" s="2" t="s">
        <v>17</v>
      </c>
      <c r="L299" s="4">
        <f t="shared" si="8"/>
        <v>9500</v>
      </c>
      <c r="M299" t="str">
        <f t="shared" si="9"/>
        <v>Counted</v>
      </c>
    </row>
    <row r="300" spans="1:13" x14ac:dyDescent="0.25">
      <c r="A300" s="2" t="s">
        <v>500</v>
      </c>
      <c r="B300" s="3">
        <v>46340</v>
      </c>
      <c r="C300" s="3" t="s">
        <v>850</v>
      </c>
      <c r="D300" s="2" t="s">
        <v>12</v>
      </c>
      <c r="E300" s="2" t="s">
        <v>186</v>
      </c>
      <c r="F300" s="2" t="s">
        <v>21</v>
      </c>
      <c r="G300" s="2" t="s">
        <v>15</v>
      </c>
      <c r="H300" s="2">
        <v>2</v>
      </c>
      <c r="I300" s="4">
        <v>62000</v>
      </c>
      <c r="J300" s="2" t="s">
        <v>22</v>
      </c>
      <c r="K300" s="2" t="s">
        <v>17</v>
      </c>
      <c r="L300" s="4">
        <f t="shared" si="8"/>
        <v>124000</v>
      </c>
      <c r="M300" t="str">
        <f t="shared" si="9"/>
        <v>Counted</v>
      </c>
    </row>
    <row r="301" spans="1:13" x14ac:dyDescent="0.25">
      <c r="A301" s="2" t="s">
        <v>501</v>
      </c>
      <c r="B301" s="3">
        <v>46341</v>
      </c>
      <c r="C301" s="3" t="s">
        <v>850</v>
      </c>
      <c r="D301" s="2" t="s">
        <v>19</v>
      </c>
      <c r="E301" s="2" t="s">
        <v>357</v>
      </c>
      <c r="F301" s="2" t="s">
        <v>84</v>
      </c>
      <c r="G301" s="2" t="s">
        <v>53</v>
      </c>
      <c r="H301" s="2">
        <v>1</v>
      </c>
      <c r="I301" s="4">
        <v>22000</v>
      </c>
      <c r="J301" s="2" t="s">
        <v>37</v>
      </c>
      <c r="K301" s="2" t="s">
        <v>17</v>
      </c>
      <c r="L301" s="4">
        <f t="shared" si="8"/>
        <v>22000</v>
      </c>
      <c r="M301" t="str">
        <f t="shared" si="9"/>
        <v>Counted</v>
      </c>
    </row>
    <row r="302" spans="1:13" x14ac:dyDescent="0.25">
      <c r="A302" s="2" t="s">
        <v>502</v>
      </c>
      <c r="B302" s="3">
        <v>46341</v>
      </c>
      <c r="C302" s="3" t="s">
        <v>850</v>
      </c>
      <c r="D302" s="2" t="s">
        <v>30</v>
      </c>
      <c r="E302" s="2" t="s">
        <v>466</v>
      </c>
      <c r="F302" s="2" t="s">
        <v>40</v>
      </c>
      <c r="G302" s="2" t="s">
        <v>41</v>
      </c>
      <c r="H302" s="2">
        <v>1</v>
      </c>
      <c r="I302" s="4">
        <v>2400</v>
      </c>
      <c r="J302" s="2" t="s">
        <v>37</v>
      </c>
      <c r="K302" s="2" t="s">
        <v>17</v>
      </c>
      <c r="L302" s="4">
        <f t="shared" si="8"/>
        <v>2400</v>
      </c>
      <c r="M302" t="str">
        <f t="shared" si="9"/>
        <v>Counted</v>
      </c>
    </row>
    <row r="303" spans="1:13" x14ac:dyDescent="0.25">
      <c r="A303" s="2" t="s">
        <v>503</v>
      </c>
      <c r="B303" s="3">
        <v>46341</v>
      </c>
      <c r="C303" s="3" t="s">
        <v>850</v>
      </c>
      <c r="D303" s="2" t="s">
        <v>30</v>
      </c>
      <c r="E303" s="2" t="s">
        <v>440</v>
      </c>
      <c r="F303" s="2" t="s">
        <v>49</v>
      </c>
      <c r="G303" s="2" t="s">
        <v>46</v>
      </c>
      <c r="H303" s="2">
        <v>1</v>
      </c>
      <c r="I303" s="4">
        <v>5000</v>
      </c>
      <c r="J303" s="2" t="s">
        <v>37</v>
      </c>
      <c r="K303" s="2" t="s">
        <v>42</v>
      </c>
      <c r="L303" s="4">
        <f t="shared" si="8"/>
        <v>5000</v>
      </c>
      <c r="M303" t="str">
        <f t="shared" si="9"/>
        <v>Not Counted</v>
      </c>
    </row>
    <row r="304" spans="1:13" x14ac:dyDescent="0.25">
      <c r="A304" s="2" t="s">
        <v>504</v>
      </c>
      <c r="B304" s="3">
        <v>46341</v>
      </c>
      <c r="C304" s="3" t="s">
        <v>850</v>
      </c>
      <c r="D304" s="2" t="s">
        <v>24</v>
      </c>
      <c r="E304" s="2" t="s">
        <v>94</v>
      </c>
      <c r="F304" s="2" t="s">
        <v>84</v>
      </c>
      <c r="G304" s="2" t="s">
        <v>53</v>
      </c>
      <c r="H304" s="2">
        <v>1</v>
      </c>
      <c r="I304" s="4">
        <v>22000</v>
      </c>
      <c r="J304" s="2" t="s">
        <v>92</v>
      </c>
      <c r="K304" s="2" t="s">
        <v>17</v>
      </c>
      <c r="L304" s="4">
        <f t="shared" si="8"/>
        <v>22000</v>
      </c>
      <c r="M304" t="str">
        <f t="shared" si="9"/>
        <v>Counted</v>
      </c>
    </row>
    <row r="305" spans="1:13" x14ac:dyDescent="0.25">
      <c r="A305" s="2" t="s">
        <v>505</v>
      </c>
      <c r="B305" s="3">
        <v>46342</v>
      </c>
      <c r="C305" s="3" t="s">
        <v>850</v>
      </c>
      <c r="D305" s="2" t="s">
        <v>30</v>
      </c>
      <c r="E305" s="2" t="s">
        <v>104</v>
      </c>
      <c r="F305" s="2" t="s">
        <v>49</v>
      </c>
      <c r="G305" s="2" t="s">
        <v>46</v>
      </c>
      <c r="H305" s="2">
        <v>1</v>
      </c>
      <c r="I305" s="4">
        <v>5000</v>
      </c>
      <c r="J305" s="2" t="s">
        <v>16</v>
      </c>
      <c r="K305" s="2" t="s">
        <v>17</v>
      </c>
      <c r="L305" s="4">
        <f t="shared" si="8"/>
        <v>5000</v>
      </c>
      <c r="M305" t="str">
        <f t="shared" si="9"/>
        <v>Counted</v>
      </c>
    </row>
    <row r="306" spans="1:13" x14ac:dyDescent="0.25">
      <c r="A306" s="2" t="s">
        <v>506</v>
      </c>
      <c r="B306" s="3">
        <v>46342</v>
      </c>
      <c r="C306" s="3" t="s">
        <v>850</v>
      </c>
      <c r="D306" s="2" t="s">
        <v>12</v>
      </c>
      <c r="E306" s="2" t="s">
        <v>51</v>
      </c>
      <c r="F306" s="2" t="s">
        <v>243</v>
      </c>
      <c r="G306" s="2" t="s">
        <v>15</v>
      </c>
      <c r="H306" s="2">
        <v>3</v>
      </c>
      <c r="I306" s="4">
        <v>9500</v>
      </c>
      <c r="J306" s="2" t="s">
        <v>27</v>
      </c>
      <c r="K306" s="2" t="s">
        <v>17</v>
      </c>
      <c r="L306" s="4">
        <f t="shared" si="8"/>
        <v>28500</v>
      </c>
      <c r="M306" t="str">
        <f t="shared" si="9"/>
        <v>Counted</v>
      </c>
    </row>
    <row r="307" spans="1:13" x14ac:dyDescent="0.25">
      <c r="A307" s="2" t="s">
        <v>507</v>
      </c>
      <c r="B307" s="3">
        <v>46342</v>
      </c>
      <c r="C307" s="3" t="s">
        <v>850</v>
      </c>
      <c r="D307" s="2" t="s">
        <v>12</v>
      </c>
      <c r="E307" s="2" t="s">
        <v>508</v>
      </c>
      <c r="F307" s="2" t="s">
        <v>84</v>
      </c>
      <c r="G307" s="2" t="s">
        <v>53</v>
      </c>
      <c r="H307" s="2">
        <v>2</v>
      </c>
      <c r="I307" s="4">
        <v>22000</v>
      </c>
      <c r="J307" s="2" t="s">
        <v>22</v>
      </c>
      <c r="K307" s="2" t="s">
        <v>17</v>
      </c>
      <c r="L307" s="4">
        <f t="shared" si="8"/>
        <v>44000</v>
      </c>
      <c r="M307" t="str">
        <f t="shared" si="9"/>
        <v>Counted</v>
      </c>
    </row>
    <row r="308" spans="1:13" x14ac:dyDescent="0.25">
      <c r="A308" s="2" t="s">
        <v>509</v>
      </c>
      <c r="B308" s="3">
        <v>46342</v>
      </c>
      <c r="C308" s="3" t="s">
        <v>850</v>
      </c>
      <c r="D308" s="2" t="s">
        <v>12</v>
      </c>
      <c r="E308" s="2" t="s">
        <v>470</v>
      </c>
      <c r="F308" s="2" t="s">
        <v>21</v>
      </c>
      <c r="G308" s="2" t="s">
        <v>15</v>
      </c>
      <c r="H308" s="2">
        <v>1</v>
      </c>
      <c r="I308" s="4">
        <v>62000</v>
      </c>
      <c r="J308" s="2" t="s">
        <v>27</v>
      </c>
      <c r="K308" s="2" t="s">
        <v>17</v>
      </c>
      <c r="L308" s="4">
        <f t="shared" si="8"/>
        <v>62000</v>
      </c>
      <c r="M308" t="str">
        <f t="shared" si="9"/>
        <v>Counted</v>
      </c>
    </row>
    <row r="309" spans="1:13" x14ac:dyDescent="0.25">
      <c r="A309" s="2" t="s">
        <v>510</v>
      </c>
      <c r="B309" s="3">
        <v>46342</v>
      </c>
      <c r="C309" s="3" t="s">
        <v>850</v>
      </c>
      <c r="D309" s="2" t="s">
        <v>12</v>
      </c>
      <c r="E309" s="2" t="s">
        <v>75</v>
      </c>
      <c r="F309" s="2" t="s">
        <v>73</v>
      </c>
      <c r="G309" s="2" t="s">
        <v>15</v>
      </c>
      <c r="H309" s="2">
        <v>1</v>
      </c>
      <c r="I309" s="4">
        <v>18000</v>
      </c>
      <c r="J309" s="2" t="s">
        <v>16</v>
      </c>
      <c r="K309" s="2" t="s">
        <v>17</v>
      </c>
      <c r="L309" s="4">
        <f t="shared" si="8"/>
        <v>18000</v>
      </c>
      <c r="M309" t="str">
        <f t="shared" si="9"/>
        <v>Counted</v>
      </c>
    </row>
    <row r="310" spans="1:13" x14ac:dyDescent="0.25">
      <c r="A310" s="2" t="s">
        <v>511</v>
      </c>
      <c r="B310" s="3">
        <v>46342</v>
      </c>
      <c r="C310" s="3" t="s">
        <v>850</v>
      </c>
      <c r="D310" s="2" t="s">
        <v>24</v>
      </c>
      <c r="E310" s="2" t="s">
        <v>512</v>
      </c>
      <c r="F310" s="2" t="s">
        <v>102</v>
      </c>
      <c r="G310" s="2" t="s">
        <v>53</v>
      </c>
      <c r="H310" s="2">
        <v>1</v>
      </c>
      <c r="I310" s="4">
        <v>12500</v>
      </c>
      <c r="J310" s="2" t="s">
        <v>22</v>
      </c>
      <c r="K310" s="2" t="s">
        <v>17</v>
      </c>
      <c r="L310" s="4">
        <f t="shared" si="8"/>
        <v>12500</v>
      </c>
      <c r="M310" t="str">
        <f t="shared" si="9"/>
        <v>Counted</v>
      </c>
    </row>
    <row r="311" spans="1:13" x14ac:dyDescent="0.25">
      <c r="A311" s="2" t="s">
        <v>513</v>
      </c>
      <c r="B311" s="3">
        <v>46342</v>
      </c>
      <c r="C311" s="3" t="s">
        <v>850</v>
      </c>
      <c r="D311" s="2" t="s">
        <v>19</v>
      </c>
      <c r="E311" s="2" t="s">
        <v>460</v>
      </c>
      <c r="F311" s="2" t="s">
        <v>52</v>
      </c>
      <c r="G311" s="2" t="s">
        <v>53</v>
      </c>
      <c r="H311" s="2">
        <v>1</v>
      </c>
      <c r="I311" s="4">
        <v>8500</v>
      </c>
      <c r="J311" s="2" t="s">
        <v>22</v>
      </c>
      <c r="K311" s="2" t="s">
        <v>17</v>
      </c>
      <c r="L311" s="4">
        <f t="shared" si="8"/>
        <v>8500</v>
      </c>
      <c r="M311" t="str">
        <f t="shared" si="9"/>
        <v>Counted</v>
      </c>
    </row>
    <row r="312" spans="1:13" x14ac:dyDescent="0.25">
      <c r="A312" s="2" t="s">
        <v>514</v>
      </c>
      <c r="B312" s="3">
        <v>46343</v>
      </c>
      <c r="C312" s="3" t="s">
        <v>850</v>
      </c>
      <c r="D312" s="2" t="s">
        <v>30</v>
      </c>
      <c r="E312" s="2" t="s">
        <v>167</v>
      </c>
      <c r="F312" s="2" t="s">
        <v>117</v>
      </c>
      <c r="G312" s="2" t="s">
        <v>46</v>
      </c>
      <c r="H312" s="2">
        <v>2</v>
      </c>
      <c r="I312" s="4">
        <v>2800</v>
      </c>
      <c r="J312" s="2" t="s">
        <v>92</v>
      </c>
      <c r="K312" s="2" t="s">
        <v>17</v>
      </c>
      <c r="L312" s="4">
        <f t="shared" si="8"/>
        <v>5600</v>
      </c>
      <c r="M312" t="str">
        <f t="shared" si="9"/>
        <v>Counted</v>
      </c>
    </row>
    <row r="313" spans="1:13" x14ac:dyDescent="0.25">
      <c r="A313" s="2" t="s">
        <v>515</v>
      </c>
      <c r="B313" s="3">
        <v>46343</v>
      </c>
      <c r="C313" s="3" t="s">
        <v>850</v>
      </c>
      <c r="D313" s="2" t="s">
        <v>19</v>
      </c>
      <c r="E313" s="2" t="s">
        <v>415</v>
      </c>
      <c r="F313" s="2" t="s">
        <v>21</v>
      </c>
      <c r="G313" s="2" t="s">
        <v>15</v>
      </c>
      <c r="H313" s="2">
        <v>2</v>
      </c>
      <c r="I313" s="4">
        <v>62000</v>
      </c>
      <c r="J313" s="2" t="s">
        <v>22</v>
      </c>
      <c r="K313" s="2" t="s">
        <v>17</v>
      </c>
      <c r="L313" s="4">
        <f t="shared" si="8"/>
        <v>124000</v>
      </c>
      <c r="M313" t="str">
        <f t="shared" si="9"/>
        <v>Counted</v>
      </c>
    </row>
    <row r="314" spans="1:13" x14ac:dyDescent="0.25">
      <c r="A314" s="2" t="s">
        <v>516</v>
      </c>
      <c r="B314" s="3">
        <v>46343</v>
      </c>
      <c r="C314" s="3" t="s">
        <v>850</v>
      </c>
      <c r="D314" s="2" t="s">
        <v>30</v>
      </c>
      <c r="E314" s="2" t="s">
        <v>491</v>
      </c>
      <c r="F314" s="2" t="s">
        <v>32</v>
      </c>
      <c r="G314" s="2" t="s">
        <v>15</v>
      </c>
      <c r="H314" s="2">
        <v>1</v>
      </c>
      <c r="I314" s="4">
        <v>52000</v>
      </c>
      <c r="J314" s="2" t="s">
        <v>16</v>
      </c>
      <c r="K314" s="2" t="s">
        <v>17</v>
      </c>
      <c r="L314" s="4">
        <f t="shared" si="8"/>
        <v>52000</v>
      </c>
      <c r="M314" t="str">
        <f t="shared" si="9"/>
        <v>Counted</v>
      </c>
    </row>
    <row r="315" spans="1:13" x14ac:dyDescent="0.25">
      <c r="A315" s="2" t="s">
        <v>517</v>
      </c>
      <c r="B315" s="3">
        <v>46343</v>
      </c>
      <c r="C315" s="3" t="s">
        <v>850</v>
      </c>
      <c r="D315" s="2" t="s">
        <v>30</v>
      </c>
      <c r="E315" s="2" t="s">
        <v>94</v>
      </c>
      <c r="F315" s="2" t="s">
        <v>73</v>
      </c>
      <c r="G315" s="2" t="s">
        <v>15</v>
      </c>
      <c r="H315" s="2">
        <v>1</v>
      </c>
      <c r="I315" s="4">
        <v>18000</v>
      </c>
      <c r="J315" s="2" t="s">
        <v>37</v>
      </c>
      <c r="K315" s="2" t="s">
        <v>17</v>
      </c>
      <c r="L315" s="4">
        <f t="shared" si="8"/>
        <v>18000</v>
      </c>
      <c r="M315" t="str">
        <f t="shared" si="9"/>
        <v>Counted</v>
      </c>
    </row>
    <row r="316" spans="1:13" x14ac:dyDescent="0.25">
      <c r="A316" s="2" t="s">
        <v>518</v>
      </c>
      <c r="B316" s="3">
        <v>46343</v>
      </c>
      <c r="C316" s="3" t="s">
        <v>850</v>
      </c>
      <c r="D316" s="2" t="s">
        <v>30</v>
      </c>
      <c r="E316" s="2" t="s">
        <v>79</v>
      </c>
      <c r="F316" s="2" t="s">
        <v>68</v>
      </c>
      <c r="G316" s="2" t="s">
        <v>41</v>
      </c>
      <c r="H316" s="2">
        <v>1</v>
      </c>
      <c r="I316" s="4">
        <v>1500</v>
      </c>
      <c r="J316" s="2" t="s">
        <v>22</v>
      </c>
      <c r="K316" s="2" t="s">
        <v>17</v>
      </c>
      <c r="L316" s="4">
        <f t="shared" si="8"/>
        <v>1500</v>
      </c>
      <c r="M316" t="str">
        <f t="shared" si="9"/>
        <v>Counted</v>
      </c>
    </row>
    <row r="317" spans="1:13" x14ac:dyDescent="0.25">
      <c r="A317" s="2" t="s">
        <v>519</v>
      </c>
      <c r="B317" s="3">
        <v>46343</v>
      </c>
      <c r="C317" s="3" t="s">
        <v>850</v>
      </c>
      <c r="D317" s="2" t="s">
        <v>19</v>
      </c>
      <c r="E317" s="2" t="s">
        <v>304</v>
      </c>
      <c r="F317" s="2" t="s">
        <v>56</v>
      </c>
      <c r="G317" s="2" t="s">
        <v>46</v>
      </c>
      <c r="H317" s="2">
        <v>1</v>
      </c>
      <c r="I317" s="4">
        <v>7500</v>
      </c>
      <c r="J317" s="2" t="s">
        <v>22</v>
      </c>
      <c r="K317" s="2" t="s">
        <v>28</v>
      </c>
      <c r="L317" s="4">
        <f t="shared" si="8"/>
        <v>7500</v>
      </c>
      <c r="M317" t="str">
        <f t="shared" si="9"/>
        <v>Counted</v>
      </c>
    </row>
    <row r="318" spans="1:13" x14ac:dyDescent="0.25">
      <c r="A318" s="2" t="s">
        <v>520</v>
      </c>
      <c r="B318" s="3">
        <v>46344</v>
      </c>
      <c r="C318" s="3" t="s">
        <v>850</v>
      </c>
      <c r="D318" s="2" t="s">
        <v>19</v>
      </c>
      <c r="E318" s="2" t="s">
        <v>521</v>
      </c>
      <c r="F318" s="2" t="s">
        <v>243</v>
      </c>
      <c r="G318" s="2" t="s">
        <v>15</v>
      </c>
      <c r="H318" s="2">
        <v>1</v>
      </c>
      <c r="I318" s="4">
        <v>9500</v>
      </c>
      <c r="J318" s="2" t="s">
        <v>92</v>
      </c>
      <c r="K318" s="2" t="s">
        <v>17</v>
      </c>
      <c r="L318" s="4">
        <f t="shared" si="8"/>
        <v>9500</v>
      </c>
      <c r="M318" t="str">
        <f t="shared" si="9"/>
        <v>Counted</v>
      </c>
    </row>
    <row r="319" spans="1:13" x14ac:dyDescent="0.25">
      <c r="A319" s="2" t="s">
        <v>522</v>
      </c>
      <c r="B319" s="3">
        <v>46344</v>
      </c>
      <c r="C319" s="3" t="s">
        <v>850</v>
      </c>
      <c r="D319" s="2" t="s">
        <v>30</v>
      </c>
      <c r="E319" s="2" t="s">
        <v>81</v>
      </c>
      <c r="F319" s="2" t="s">
        <v>95</v>
      </c>
      <c r="G319" s="2" t="s">
        <v>15</v>
      </c>
      <c r="H319" s="2">
        <v>1</v>
      </c>
      <c r="I319" s="4">
        <v>58000</v>
      </c>
      <c r="J319" s="2" t="s">
        <v>22</v>
      </c>
      <c r="K319" s="2" t="s">
        <v>42</v>
      </c>
      <c r="L319" s="4">
        <f t="shared" si="8"/>
        <v>58000</v>
      </c>
      <c r="M319" t="str">
        <f t="shared" si="9"/>
        <v>Not Counted</v>
      </c>
    </row>
    <row r="320" spans="1:13" x14ac:dyDescent="0.25">
      <c r="A320" s="2" t="s">
        <v>523</v>
      </c>
      <c r="B320" s="3">
        <v>46344</v>
      </c>
      <c r="C320" s="3" t="s">
        <v>850</v>
      </c>
      <c r="D320" s="2" t="s">
        <v>12</v>
      </c>
      <c r="E320" s="2" t="s">
        <v>313</v>
      </c>
      <c r="F320" s="2" t="s">
        <v>114</v>
      </c>
      <c r="G320" s="2" t="s">
        <v>36</v>
      </c>
      <c r="H320" s="2">
        <v>3</v>
      </c>
      <c r="I320" s="4">
        <v>9500</v>
      </c>
      <c r="J320" s="2" t="s">
        <v>37</v>
      </c>
      <c r="K320" s="2" t="s">
        <v>107</v>
      </c>
      <c r="L320" s="4">
        <f t="shared" si="8"/>
        <v>28500</v>
      </c>
      <c r="M320" t="str">
        <f t="shared" si="9"/>
        <v>Not Counted</v>
      </c>
    </row>
    <row r="321" spans="1:13" x14ac:dyDescent="0.25">
      <c r="A321" s="2" t="s">
        <v>524</v>
      </c>
      <c r="B321" s="3">
        <v>46344</v>
      </c>
      <c r="C321" s="3" t="s">
        <v>850</v>
      </c>
      <c r="D321" s="2" t="s">
        <v>19</v>
      </c>
      <c r="E321" s="2" t="s">
        <v>470</v>
      </c>
      <c r="F321" s="2" t="s">
        <v>26</v>
      </c>
      <c r="G321" s="2" t="s">
        <v>15</v>
      </c>
      <c r="H321" s="2">
        <v>1</v>
      </c>
      <c r="I321" s="4">
        <v>24000</v>
      </c>
      <c r="J321" s="2" t="s">
        <v>92</v>
      </c>
      <c r="K321" s="2" t="s">
        <v>28</v>
      </c>
      <c r="L321" s="4">
        <f t="shared" si="8"/>
        <v>24000</v>
      </c>
      <c r="M321" t="str">
        <f t="shared" si="9"/>
        <v>Counted</v>
      </c>
    </row>
    <row r="322" spans="1:13" x14ac:dyDescent="0.25">
      <c r="A322" s="2" t="s">
        <v>525</v>
      </c>
      <c r="B322" s="3">
        <v>46344</v>
      </c>
      <c r="C322" s="3" t="s">
        <v>850</v>
      </c>
      <c r="D322" s="2" t="s">
        <v>24</v>
      </c>
      <c r="E322" s="2" t="s">
        <v>163</v>
      </c>
      <c r="F322" s="2" t="s">
        <v>40</v>
      </c>
      <c r="G322" s="2" t="s">
        <v>41</v>
      </c>
      <c r="H322" s="2">
        <v>2</v>
      </c>
      <c r="I322" s="4">
        <v>2400</v>
      </c>
      <c r="J322" s="2" t="s">
        <v>22</v>
      </c>
      <c r="K322" s="2" t="s">
        <v>17</v>
      </c>
      <c r="L322" s="4">
        <f t="shared" ref="L322:L385" si="10">H322*I322</f>
        <v>4800</v>
      </c>
      <c r="M322" t="str">
        <f t="shared" si="9"/>
        <v>Counted</v>
      </c>
    </row>
    <row r="323" spans="1:13" x14ac:dyDescent="0.25">
      <c r="A323" s="2" t="s">
        <v>526</v>
      </c>
      <c r="B323" s="3">
        <v>46345</v>
      </c>
      <c r="C323" s="3" t="s">
        <v>850</v>
      </c>
      <c r="D323" s="2" t="s">
        <v>24</v>
      </c>
      <c r="E323" s="2" t="s">
        <v>401</v>
      </c>
      <c r="F323" s="2" t="s">
        <v>56</v>
      </c>
      <c r="G323" s="2" t="s">
        <v>46</v>
      </c>
      <c r="H323" s="2">
        <v>1</v>
      </c>
      <c r="I323" s="4">
        <v>7500</v>
      </c>
      <c r="J323" s="2" t="s">
        <v>16</v>
      </c>
      <c r="K323" s="2" t="s">
        <v>17</v>
      </c>
      <c r="L323" s="4">
        <f t="shared" si="10"/>
        <v>7500</v>
      </c>
      <c r="M323" t="str">
        <f t="shared" ref="M323:M386" si="11">IF(OR(K323="Cancelled",K323="Returned"),"Not Counted","Counted")</f>
        <v>Counted</v>
      </c>
    </row>
    <row r="324" spans="1:13" x14ac:dyDescent="0.25">
      <c r="A324" s="2" t="s">
        <v>527</v>
      </c>
      <c r="B324" s="3">
        <v>46345</v>
      </c>
      <c r="C324" s="3" t="s">
        <v>850</v>
      </c>
      <c r="D324" s="2" t="s">
        <v>19</v>
      </c>
      <c r="E324" s="2" t="s">
        <v>366</v>
      </c>
      <c r="F324" s="2" t="s">
        <v>26</v>
      </c>
      <c r="G324" s="2" t="s">
        <v>15</v>
      </c>
      <c r="H324" s="2">
        <v>1</v>
      </c>
      <c r="I324" s="4">
        <v>24000</v>
      </c>
      <c r="J324" s="2" t="s">
        <v>37</v>
      </c>
      <c r="K324" s="2" t="s">
        <v>42</v>
      </c>
      <c r="L324" s="4">
        <f t="shared" si="10"/>
        <v>24000</v>
      </c>
      <c r="M324" t="str">
        <f t="shared" si="11"/>
        <v>Not Counted</v>
      </c>
    </row>
    <row r="325" spans="1:13" x14ac:dyDescent="0.25">
      <c r="A325" s="2" t="s">
        <v>528</v>
      </c>
      <c r="B325" s="3">
        <v>46345</v>
      </c>
      <c r="C325" s="3" t="s">
        <v>850</v>
      </c>
      <c r="D325" s="2" t="s">
        <v>12</v>
      </c>
      <c r="E325" s="2" t="s">
        <v>119</v>
      </c>
      <c r="F325" s="2" t="s">
        <v>152</v>
      </c>
      <c r="G325" s="2" t="s">
        <v>36</v>
      </c>
      <c r="H325" s="2">
        <v>1</v>
      </c>
      <c r="I325" s="4">
        <v>6500</v>
      </c>
      <c r="J325" s="2" t="s">
        <v>37</v>
      </c>
      <c r="K325" s="2" t="s">
        <v>28</v>
      </c>
      <c r="L325" s="4">
        <f t="shared" si="10"/>
        <v>6500</v>
      </c>
      <c r="M325" t="str">
        <f t="shared" si="11"/>
        <v>Counted</v>
      </c>
    </row>
    <row r="326" spans="1:13" x14ac:dyDescent="0.25">
      <c r="A326" s="2" t="s">
        <v>529</v>
      </c>
      <c r="B326" s="3">
        <v>46345</v>
      </c>
      <c r="C326" s="3" t="s">
        <v>850</v>
      </c>
      <c r="D326" s="2" t="s">
        <v>19</v>
      </c>
      <c r="E326" s="2" t="s">
        <v>139</v>
      </c>
      <c r="F326" s="2" t="s">
        <v>14</v>
      </c>
      <c r="G326" s="2" t="s">
        <v>15</v>
      </c>
      <c r="H326" s="2">
        <v>1</v>
      </c>
      <c r="I326" s="4">
        <v>65000</v>
      </c>
      <c r="J326" s="2" t="s">
        <v>22</v>
      </c>
      <c r="K326" s="2" t="s">
        <v>17</v>
      </c>
      <c r="L326" s="4">
        <f t="shared" si="10"/>
        <v>65000</v>
      </c>
      <c r="M326" t="str">
        <f t="shared" si="11"/>
        <v>Counted</v>
      </c>
    </row>
    <row r="327" spans="1:13" x14ac:dyDescent="0.25">
      <c r="A327" s="2" t="s">
        <v>530</v>
      </c>
      <c r="B327" s="3">
        <v>46345</v>
      </c>
      <c r="C327" s="3" t="s">
        <v>850</v>
      </c>
      <c r="D327" s="2" t="s">
        <v>30</v>
      </c>
      <c r="E327" s="2" t="s">
        <v>236</v>
      </c>
      <c r="F327" s="2" t="s">
        <v>40</v>
      </c>
      <c r="G327" s="2" t="s">
        <v>41</v>
      </c>
      <c r="H327" s="2">
        <v>1</v>
      </c>
      <c r="I327" s="4">
        <v>2400</v>
      </c>
      <c r="J327" s="2" t="s">
        <v>16</v>
      </c>
      <c r="K327" s="2" t="s">
        <v>107</v>
      </c>
      <c r="L327" s="4">
        <f t="shared" si="10"/>
        <v>2400</v>
      </c>
      <c r="M327" t="str">
        <f t="shared" si="11"/>
        <v>Not Counted</v>
      </c>
    </row>
    <row r="328" spans="1:13" x14ac:dyDescent="0.25">
      <c r="A328" s="2" t="s">
        <v>531</v>
      </c>
      <c r="B328" s="3">
        <v>46346</v>
      </c>
      <c r="C328" s="3" t="s">
        <v>850</v>
      </c>
      <c r="D328" s="2" t="s">
        <v>19</v>
      </c>
      <c r="E328" s="2" t="s">
        <v>89</v>
      </c>
      <c r="F328" s="2" t="s">
        <v>65</v>
      </c>
      <c r="G328" s="2" t="s">
        <v>36</v>
      </c>
      <c r="H328" s="2">
        <v>1</v>
      </c>
      <c r="I328" s="4">
        <v>28000</v>
      </c>
      <c r="J328" s="2" t="s">
        <v>92</v>
      </c>
      <c r="K328" s="2" t="s">
        <v>17</v>
      </c>
      <c r="L328" s="4">
        <f t="shared" si="10"/>
        <v>28000</v>
      </c>
      <c r="M328" t="str">
        <f t="shared" si="11"/>
        <v>Counted</v>
      </c>
    </row>
    <row r="329" spans="1:13" x14ac:dyDescent="0.25">
      <c r="A329" s="2" t="s">
        <v>532</v>
      </c>
      <c r="B329" s="3">
        <v>46346</v>
      </c>
      <c r="C329" s="3" t="s">
        <v>850</v>
      </c>
      <c r="D329" s="2" t="s">
        <v>24</v>
      </c>
      <c r="E329" s="2" t="s">
        <v>234</v>
      </c>
      <c r="F329" s="2" t="s">
        <v>133</v>
      </c>
      <c r="G329" s="2" t="s">
        <v>15</v>
      </c>
      <c r="H329" s="2">
        <v>2</v>
      </c>
      <c r="I329" s="4">
        <v>1800</v>
      </c>
      <c r="J329" s="2" t="s">
        <v>22</v>
      </c>
      <c r="K329" s="2" t="s">
        <v>17</v>
      </c>
      <c r="L329" s="4">
        <f t="shared" si="10"/>
        <v>3600</v>
      </c>
      <c r="M329" t="str">
        <f t="shared" si="11"/>
        <v>Counted</v>
      </c>
    </row>
    <row r="330" spans="1:13" x14ac:dyDescent="0.25">
      <c r="A330" s="2" t="s">
        <v>533</v>
      </c>
      <c r="B330" s="3">
        <v>46346</v>
      </c>
      <c r="C330" s="3" t="s">
        <v>850</v>
      </c>
      <c r="D330" s="2" t="s">
        <v>12</v>
      </c>
      <c r="E330" s="2" t="s">
        <v>415</v>
      </c>
      <c r="F330" s="2" t="s">
        <v>133</v>
      </c>
      <c r="G330" s="2" t="s">
        <v>15</v>
      </c>
      <c r="H330" s="2">
        <v>2</v>
      </c>
      <c r="I330" s="4">
        <v>1800</v>
      </c>
      <c r="J330" s="2" t="s">
        <v>22</v>
      </c>
      <c r="K330" s="2" t="s">
        <v>42</v>
      </c>
      <c r="L330" s="4">
        <f t="shared" si="10"/>
        <v>3600</v>
      </c>
      <c r="M330" t="str">
        <f t="shared" si="11"/>
        <v>Not Counted</v>
      </c>
    </row>
    <row r="331" spans="1:13" x14ac:dyDescent="0.25">
      <c r="A331" s="2" t="s">
        <v>534</v>
      </c>
      <c r="B331" s="3">
        <v>46346</v>
      </c>
      <c r="C331" s="3" t="s">
        <v>850</v>
      </c>
      <c r="D331" s="2" t="s">
        <v>12</v>
      </c>
      <c r="E331" s="2" t="s">
        <v>454</v>
      </c>
      <c r="F331" s="2" t="s">
        <v>52</v>
      </c>
      <c r="G331" s="2" t="s">
        <v>53</v>
      </c>
      <c r="H331" s="2">
        <v>1</v>
      </c>
      <c r="I331" s="4">
        <v>8500</v>
      </c>
      <c r="J331" s="2" t="s">
        <v>22</v>
      </c>
      <c r="K331" s="2" t="s">
        <v>17</v>
      </c>
      <c r="L331" s="4">
        <f t="shared" si="10"/>
        <v>8500</v>
      </c>
      <c r="M331" t="str">
        <f t="shared" si="11"/>
        <v>Counted</v>
      </c>
    </row>
    <row r="332" spans="1:13" x14ac:dyDescent="0.25">
      <c r="A332" s="2" t="s">
        <v>535</v>
      </c>
      <c r="B332" s="3">
        <v>46346</v>
      </c>
      <c r="C332" s="3" t="s">
        <v>850</v>
      </c>
      <c r="D332" s="2" t="s">
        <v>12</v>
      </c>
      <c r="E332" s="2" t="s">
        <v>147</v>
      </c>
      <c r="F332" s="2" t="s">
        <v>95</v>
      </c>
      <c r="G332" s="2" t="s">
        <v>15</v>
      </c>
      <c r="H332" s="2">
        <v>1</v>
      </c>
      <c r="I332" s="4">
        <v>58000</v>
      </c>
      <c r="J332" s="2" t="s">
        <v>16</v>
      </c>
      <c r="K332" s="2" t="s">
        <v>17</v>
      </c>
      <c r="L332" s="4">
        <f t="shared" si="10"/>
        <v>58000</v>
      </c>
      <c r="M332" t="str">
        <f t="shared" si="11"/>
        <v>Counted</v>
      </c>
    </row>
    <row r="333" spans="1:13" x14ac:dyDescent="0.25">
      <c r="A333" s="2" t="s">
        <v>536</v>
      </c>
      <c r="B333" s="3">
        <v>46346</v>
      </c>
      <c r="C333" s="3" t="s">
        <v>850</v>
      </c>
      <c r="D333" s="2" t="s">
        <v>19</v>
      </c>
      <c r="E333" s="2" t="s">
        <v>196</v>
      </c>
      <c r="F333" s="2" t="s">
        <v>87</v>
      </c>
      <c r="G333" s="2" t="s">
        <v>46</v>
      </c>
      <c r="H333" s="2">
        <v>1</v>
      </c>
      <c r="I333" s="4">
        <v>1600</v>
      </c>
      <c r="J333" s="2" t="s">
        <v>16</v>
      </c>
      <c r="K333" s="2" t="s">
        <v>17</v>
      </c>
      <c r="L333" s="4">
        <f t="shared" si="10"/>
        <v>1600</v>
      </c>
      <c r="M333" t="str">
        <f t="shared" si="11"/>
        <v>Counted</v>
      </c>
    </row>
    <row r="334" spans="1:13" x14ac:dyDescent="0.25">
      <c r="A334" s="2" t="s">
        <v>537</v>
      </c>
      <c r="B334" s="3">
        <v>46347</v>
      </c>
      <c r="C334" s="3" t="s">
        <v>850</v>
      </c>
      <c r="D334" s="2" t="s">
        <v>12</v>
      </c>
      <c r="E334" s="2" t="s">
        <v>253</v>
      </c>
      <c r="F334" s="2" t="s">
        <v>49</v>
      </c>
      <c r="G334" s="2" t="s">
        <v>46</v>
      </c>
      <c r="H334" s="2">
        <v>1</v>
      </c>
      <c r="I334" s="4">
        <v>5000</v>
      </c>
      <c r="J334" s="2" t="s">
        <v>27</v>
      </c>
      <c r="K334" s="2" t="s">
        <v>17</v>
      </c>
      <c r="L334" s="4">
        <f t="shared" si="10"/>
        <v>5000</v>
      </c>
      <c r="M334" t="str">
        <f t="shared" si="11"/>
        <v>Counted</v>
      </c>
    </row>
    <row r="335" spans="1:13" x14ac:dyDescent="0.25">
      <c r="A335" s="2" t="s">
        <v>538</v>
      </c>
      <c r="B335" s="3">
        <v>46347</v>
      </c>
      <c r="C335" s="3" t="s">
        <v>850</v>
      </c>
      <c r="D335" s="2" t="s">
        <v>19</v>
      </c>
      <c r="E335" s="2" t="s">
        <v>125</v>
      </c>
      <c r="F335" s="2" t="s">
        <v>114</v>
      </c>
      <c r="G335" s="2" t="s">
        <v>36</v>
      </c>
      <c r="H335" s="2">
        <v>1</v>
      </c>
      <c r="I335" s="4">
        <v>9500</v>
      </c>
      <c r="J335" s="2" t="s">
        <v>22</v>
      </c>
      <c r="K335" s="2" t="s">
        <v>17</v>
      </c>
      <c r="L335" s="4">
        <f t="shared" si="10"/>
        <v>9500</v>
      </c>
      <c r="M335" t="str">
        <f t="shared" si="11"/>
        <v>Counted</v>
      </c>
    </row>
    <row r="336" spans="1:13" x14ac:dyDescent="0.25">
      <c r="A336" s="2" t="s">
        <v>539</v>
      </c>
      <c r="B336" s="3">
        <v>46347</v>
      </c>
      <c r="C336" s="3" t="s">
        <v>850</v>
      </c>
      <c r="D336" s="2" t="s">
        <v>24</v>
      </c>
      <c r="E336" s="2" t="s">
        <v>540</v>
      </c>
      <c r="F336" s="2" t="s">
        <v>32</v>
      </c>
      <c r="G336" s="2" t="s">
        <v>15</v>
      </c>
      <c r="H336" s="2">
        <v>1</v>
      </c>
      <c r="I336" s="4">
        <v>52000</v>
      </c>
      <c r="J336" s="2" t="s">
        <v>22</v>
      </c>
      <c r="K336" s="2" t="s">
        <v>17</v>
      </c>
      <c r="L336" s="4">
        <f t="shared" si="10"/>
        <v>52000</v>
      </c>
      <c r="M336" t="str">
        <f t="shared" si="11"/>
        <v>Counted</v>
      </c>
    </row>
    <row r="337" spans="1:13" x14ac:dyDescent="0.25">
      <c r="A337" s="2" t="s">
        <v>541</v>
      </c>
      <c r="B337" s="3">
        <v>46347</v>
      </c>
      <c r="C337" s="3" t="s">
        <v>850</v>
      </c>
      <c r="D337" s="2" t="s">
        <v>19</v>
      </c>
      <c r="E337" s="2" t="s">
        <v>119</v>
      </c>
      <c r="F337" s="2" t="s">
        <v>152</v>
      </c>
      <c r="G337" s="2" t="s">
        <v>36</v>
      </c>
      <c r="H337" s="2">
        <v>3</v>
      </c>
      <c r="I337" s="4">
        <v>6500</v>
      </c>
      <c r="J337" s="2" t="s">
        <v>22</v>
      </c>
      <c r="K337" s="2" t="s">
        <v>28</v>
      </c>
      <c r="L337" s="4">
        <f t="shared" si="10"/>
        <v>19500</v>
      </c>
      <c r="M337" t="str">
        <f t="shared" si="11"/>
        <v>Counted</v>
      </c>
    </row>
    <row r="338" spans="1:13" x14ac:dyDescent="0.25">
      <c r="A338" s="2" t="s">
        <v>542</v>
      </c>
      <c r="B338" s="3">
        <v>46347</v>
      </c>
      <c r="C338" s="3" t="s">
        <v>850</v>
      </c>
      <c r="D338" s="2" t="s">
        <v>12</v>
      </c>
      <c r="E338" s="2" t="s">
        <v>466</v>
      </c>
      <c r="F338" s="2" t="s">
        <v>114</v>
      </c>
      <c r="G338" s="2" t="s">
        <v>36</v>
      </c>
      <c r="H338" s="2">
        <v>1</v>
      </c>
      <c r="I338" s="4">
        <v>9500</v>
      </c>
      <c r="J338" s="2" t="s">
        <v>37</v>
      </c>
      <c r="K338" s="2" t="s">
        <v>17</v>
      </c>
      <c r="L338" s="4">
        <f t="shared" si="10"/>
        <v>9500</v>
      </c>
      <c r="M338" t="str">
        <f t="shared" si="11"/>
        <v>Counted</v>
      </c>
    </row>
    <row r="339" spans="1:13" x14ac:dyDescent="0.25">
      <c r="A339" s="2" t="s">
        <v>543</v>
      </c>
      <c r="B339" s="3">
        <v>46348</v>
      </c>
      <c r="C339" s="3" t="s">
        <v>850</v>
      </c>
      <c r="D339" s="2" t="s">
        <v>19</v>
      </c>
      <c r="E339" s="2" t="s">
        <v>544</v>
      </c>
      <c r="F339" s="2" t="s">
        <v>21</v>
      </c>
      <c r="G339" s="2" t="s">
        <v>15</v>
      </c>
      <c r="H339" s="2">
        <v>1</v>
      </c>
      <c r="I339" s="4">
        <v>62000</v>
      </c>
      <c r="J339" s="2" t="s">
        <v>16</v>
      </c>
      <c r="K339" s="2" t="s">
        <v>17</v>
      </c>
      <c r="L339" s="4">
        <f t="shared" si="10"/>
        <v>62000</v>
      </c>
      <c r="M339" t="str">
        <f t="shared" si="11"/>
        <v>Counted</v>
      </c>
    </row>
    <row r="340" spans="1:13" x14ac:dyDescent="0.25">
      <c r="A340" s="2" t="s">
        <v>545</v>
      </c>
      <c r="B340" s="3">
        <v>46348</v>
      </c>
      <c r="C340" s="3" t="s">
        <v>850</v>
      </c>
      <c r="D340" s="2" t="s">
        <v>12</v>
      </c>
      <c r="E340" s="2" t="s">
        <v>236</v>
      </c>
      <c r="F340" s="2" t="s">
        <v>14</v>
      </c>
      <c r="G340" s="2" t="s">
        <v>15</v>
      </c>
      <c r="H340" s="2">
        <v>1</v>
      </c>
      <c r="I340" s="4">
        <v>65000</v>
      </c>
      <c r="J340" s="2" t="s">
        <v>37</v>
      </c>
      <c r="K340" s="2" t="s">
        <v>17</v>
      </c>
      <c r="L340" s="4">
        <f t="shared" si="10"/>
        <v>65000</v>
      </c>
      <c r="M340" t="str">
        <f t="shared" si="11"/>
        <v>Counted</v>
      </c>
    </row>
    <row r="341" spans="1:13" x14ac:dyDescent="0.25">
      <c r="A341" s="2" t="s">
        <v>546</v>
      </c>
      <c r="B341" s="3">
        <v>46348</v>
      </c>
      <c r="C341" s="3" t="s">
        <v>850</v>
      </c>
      <c r="D341" s="2" t="s">
        <v>12</v>
      </c>
      <c r="E341" s="2" t="s">
        <v>253</v>
      </c>
      <c r="F341" s="2" t="s">
        <v>65</v>
      </c>
      <c r="G341" s="2" t="s">
        <v>36</v>
      </c>
      <c r="H341" s="2">
        <v>1</v>
      </c>
      <c r="I341" s="4">
        <v>28000</v>
      </c>
      <c r="J341" s="2" t="s">
        <v>37</v>
      </c>
      <c r="K341" s="2" t="s">
        <v>17</v>
      </c>
      <c r="L341" s="4">
        <f t="shared" si="10"/>
        <v>28000</v>
      </c>
      <c r="M341" t="str">
        <f t="shared" si="11"/>
        <v>Counted</v>
      </c>
    </row>
    <row r="342" spans="1:13" x14ac:dyDescent="0.25">
      <c r="A342" s="2" t="s">
        <v>547</v>
      </c>
      <c r="B342" s="3">
        <v>46348</v>
      </c>
      <c r="C342" s="3" t="s">
        <v>850</v>
      </c>
      <c r="D342" s="2" t="s">
        <v>19</v>
      </c>
      <c r="E342" s="2" t="s">
        <v>387</v>
      </c>
      <c r="F342" s="2" t="s">
        <v>59</v>
      </c>
      <c r="G342" s="2" t="s">
        <v>53</v>
      </c>
      <c r="H342" s="2">
        <v>2</v>
      </c>
      <c r="I342" s="4">
        <v>3800</v>
      </c>
      <c r="J342" s="2" t="s">
        <v>22</v>
      </c>
      <c r="K342" s="2" t="s">
        <v>17</v>
      </c>
      <c r="L342" s="4">
        <f t="shared" si="10"/>
        <v>7600</v>
      </c>
      <c r="M342" t="str">
        <f t="shared" si="11"/>
        <v>Counted</v>
      </c>
    </row>
    <row r="343" spans="1:13" x14ac:dyDescent="0.25">
      <c r="A343" s="2" t="s">
        <v>548</v>
      </c>
      <c r="B343" s="3">
        <v>46348</v>
      </c>
      <c r="C343" s="3" t="s">
        <v>850</v>
      </c>
      <c r="D343" s="2" t="s">
        <v>12</v>
      </c>
      <c r="E343" s="2" t="s">
        <v>125</v>
      </c>
      <c r="F343" s="2" t="s">
        <v>35</v>
      </c>
      <c r="G343" s="2" t="s">
        <v>36</v>
      </c>
      <c r="H343" s="2">
        <v>2</v>
      </c>
      <c r="I343" s="4">
        <v>12000</v>
      </c>
      <c r="J343" s="2" t="s">
        <v>37</v>
      </c>
      <c r="K343" s="2" t="s">
        <v>17</v>
      </c>
      <c r="L343" s="4">
        <f t="shared" si="10"/>
        <v>24000</v>
      </c>
      <c r="M343" t="str">
        <f t="shared" si="11"/>
        <v>Counted</v>
      </c>
    </row>
    <row r="344" spans="1:13" x14ac:dyDescent="0.25">
      <c r="A344" s="2" t="s">
        <v>549</v>
      </c>
      <c r="B344" s="3">
        <v>46348</v>
      </c>
      <c r="C344" s="3" t="s">
        <v>850</v>
      </c>
      <c r="D344" s="2" t="s">
        <v>19</v>
      </c>
      <c r="E344" s="2" t="s">
        <v>222</v>
      </c>
      <c r="F344" s="2" t="s">
        <v>243</v>
      </c>
      <c r="G344" s="2" t="s">
        <v>15</v>
      </c>
      <c r="H344" s="2">
        <v>1</v>
      </c>
      <c r="I344" s="4">
        <v>9500</v>
      </c>
      <c r="J344" s="2" t="s">
        <v>22</v>
      </c>
      <c r="K344" s="2" t="s">
        <v>17</v>
      </c>
      <c r="L344" s="4">
        <f t="shared" si="10"/>
        <v>9500</v>
      </c>
      <c r="M344" t="str">
        <f t="shared" si="11"/>
        <v>Counted</v>
      </c>
    </row>
    <row r="345" spans="1:13" x14ac:dyDescent="0.25">
      <c r="A345" s="2" t="s">
        <v>550</v>
      </c>
      <c r="B345" s="3">
        <v>46348</v>
      </c>
      <c r="C345" s="3" t="s">
        <v>850</v>
      </c>
      <c r="D345" s="2" t="s">
        <v>19</v>
      </c>
      <c r="E345" s="2" t="s">
        <v>551</v>
      </c>
      <c r="F345" s="2" t="s">
        <v>117</v>
      </c>
      <c r="G345" s="2" t="s">
        <v>46</v>
      </c>
      <c r="H345" s="2">
        <v>2</v>
      </c>
      <c r="I345" s="4">
        <v>2800</v>
      </c>
      <c r="J345" s="2" t="s">
        <v>37</v>
      </c>
      <c r="K345" s="2" t="s">
        <v>17</v>
      </c>
      <c r="L345" s="4">
        <f t="shared" si="10"/>
        <v>5600</v>
      </c>
      <c r="M345" t="str">
        <f t="shared" si="11"/>
        <v>Counted</v>
      </c>
    </row>
    <row r="346" spans="1:13" x14ac:dyDescent="0.25">
      <c r="A346" s="2" t="s">
        <v>552</v>
      </c>
      <c r="B346" s="3">
        <v>46348</v>
      </c>
      <c r="C346" s="3" t="s">
        <v>850</v>
      </c>
      <c r="D346" s="2" t="s">
        <v>12</v>
      </c>
      <c r="E346" s="2" t="s">
        <v>180</v>
      </c>
      <c r="F346" s="2" t="s">
        <v>84</v>
      </c>
      <c r="G346" s="2" t="s">
        <v>53</v>
      </c>
      <c r="H346" s="2">
        <v>1</v>
      </c>
      <c r="I346" s="4">
        <v>22000</v>
      </c>
      <c r="J346" s="2" t="s">
        <v>27</v>
      </c>
      <c r="K346" s="2" t="s">
        <v>17</v>
      </c>
      <c r="L346" s="4">
        <f t="shared" si="10"/>
        <v>22000</v>
      </c>
      <c r="M346" t="str">
        <f t="shared" si="11"/>
        <v>Counted</v>
      </c>
    </row>
    <row r="347" spans="1:13" x14ac:dyDescent="0.25">
      <c r="A347" s="2" t="s">
        <v>553</v>
      </c>
      <c r="B347" s="3">
        <v>46349</v>
      </c>
      <c r="C347" s="3" t="s">
        <v>850</v>
      </c>
      <c r="D347" s="2" t="s">
        <v>12</v>
      </c>
      <c r="E347" s="2" t="s">
        <v>429</v>
      </c>
      <c r="F347" s="2" t="s">
        <v>26</v>
      </c>
      <c r="G347" s="2" t="s">
        <v>15</v>
      </c>
      <c r="H347" s="2">
        <v>1</v>
      </c>
      <c r="I347" s="4">
        <v>24000</v>
      </c>
      <c r="J347" s="2" t="s">
        <v>92</v>
      </c>
      <c r="K347" s="2" t="s">
        <v>17</v>
      </c>
      <c r="L347" s="4">
        <f t="shared" si="10"/>
        <v>24000</v>
      </c>
      <c r="M347" t="str">
        <f t="shared" si="11"/>
        <v>Counted</v>
      </c>
    </row>
    <row r="348" spans="1:13" x14ac:dyDescent="0.25">
      <c r="A348" s="2" t="s">
        <v>554</v>
      </c>
      <c r="B348" s="3">
        <v>46349</v>
      </c>
      <c r="C348" s="3" t="s">
        <v>850</v>
      </c>
      <c r="D348" s="2" t="s">
        <v>24</v>
      </c>
      <c r="E348" s="2" t="s">
        <v>48</v>
      </c>
      <c r="F348" s="2" t="s">
        <v>87</v>
      </c>
      <c r="G348" s="2" t="s">
        <v>46</v>
      </c>
      <c r="H348" s="2">
        <v>1</v>
      </c>
      <c r="I348" s="4">
        <v>1600</v>
      </c>
      <c r="J348" s="2" t="s">
        <v>92</v>
      </c>
      <c r="K348" s="2" t="s">
        <v>28</v>
      </c>
      <c r="L348" s="4">
        <f t="shared" si="10"/>
        <v>1600</v>
      </c>
      <c r="M348" t="str">
        <f t="shared" si="11"/>
        <v>Counted</v>
      </c>
    </row>
    <row r="349" spans="1:13" x14ac:dyDescent="0.25">
      <c r="A349" s="2" t="s">
        <v>555</v>
      </c>
      <c r="B349" s="3">
        <v>46349</v>
      </c>
      <c r="C349" s="3" t="s">
        <v>850</v>
      </c>
      <c r="D349" s="2" t="s">
        <v>24</v>
      </c>
      <c r="E349" s="2" t="s">
        <v>204</v>
      </c>
      <c r="F349" s="2" t="s">
        <v>62</v>
      </c>
      <c r="G349" s="2" t="s">
        <v>41</v>
      </c>
      <c r="H349" s="2">
        <v>1</v>
      </c>
      <c r="I349" s="4">
        <v>2200</v>
      </c>
      <c r="J349" s="2" t="s">
        <v>37</v>
      </c>
      <c r="K349" s="2" t="s">
        <v>17</v>
      </c>
      <c r="L349" s="4">
        <f t="shared" si="10"/>
        <v>2200</v>
      </c>
      <c r="M349" t="str">
        <f t="shared" si="11"/>
        <v>Counted</v>
      </c>
    </row>
    <row r="350" spans="1:13" x14ac:dyDescent="0.25">
      <c r="A350" s="2" t="s">
        <v>556</v>
      </c>
      <c r="B350" s="3">
        <v>46349</v>
      </c>
      <c r="C350" s="3" t="s">
        <v>850</v>
      </c>
      <c r="D350" s="2" t="s">
        <v>19</v>
      </c>
      <c r="E350" s="2" t="s">
        <v>359</v>
      </c>
      <c r="F350" s="2" t="s">
        <v>52</v>
      </c>
      <c r="G350" s="2" t="s">
        <v>53</v>
      </c>
      <c r="H350" s="2">
        <v>1</v>
      </c>
      <c r="I350" s="4">
        <v>8500</v>
      </c>
      <c r="J350" s="2" t="s">
        <v>27</v>
      </c>
      <c r="K350" s="2" t="s">
        <v>17</v>
      </c>
      <c r="L350" s="4">
        <f t="shared" si="10"/>
        <v>8500</v>
      </c>
      <c r="M350" t="str">
        <f t="shared" si="11"/>
        <v>Counted</v>
      </c>
    </row>
    <row r="351" spans="1:13" x14ac:dyDescent="0.25">
      <c r="A351" s="2" t="s">
        <v>557</v>
      </c>
      <c r="B351" s="3">
        <v>46350</v>
      </c>
      <c r="C351" s="3" t="s">
        <v>850</v>
      </c>
      <c r="D351" s="2" t="s">
        <v>12</v>
      </c>
      <c r="E351" s="2" t="s">
        <v>558</v>
      </c>
      <c r="F351" s="2" t="s">
        <v>73</v>
      </c>
      <c r="G351" s="2" t="s">
        <v>15</v>
      </c>
      <c r="H351" s="2">
        <v>1</v>
      </c>
      <c r="I351" s="4">
        <v>18000</v>
      </c>
      <c r="J351" s="2" t="s">
        <v>22</v>
      </c>
      <c r="K351" s="2" t="s">
        <v>28</v>
      </c>
      <c r="L351" s="4">
        <f t="shared" si="10"/>
        <v>18000</v>
      </c>
      <c r="M351" t="str">
        <f t="shared" si="11"/>
        <v>Counted</v>
      </c>
    </row>
    <row r="352" spans="1:13" x14ac:dyDescent="0.25">
      <c r="A352" s="2" t="s">
        <v>559</v>
      </c>
      <c r="B352" s="3">
        <v>46350</v>
      </c>
      <c r="C352" s="3" t="s">
        <v>850</v>
      </c>
      <c r="D352" s="2" t="s">
        <v>19</v>
      </c>
      <c r="E352" s="2" t="s">
        <v>226</v>
      </c>
      <c r="F352" s="2" t="s">
        <v>56</v>
      </c>
      <c r="G352" s="2" t="s">
        <v>46</v>
      </c>
      <c r="H352" s="2">
        <v>1</v>
      </c>
      <c r="I352" s="4">
        <v>7500</v>
      </c>
      <c r="J352" s="2" t="s">
        <v>16</v>
      </c>
      <c r="K352" s="2" t="s">
        <v>17</v>
      </c>
      <c r="L352" s="4">
        <f t="shared" si="10"/>
        <v>7500</v>
      </c>
      <c r="M352" t="str">
        <f t="shared" si="11"/>
        <v>Counted</v>
      </c>
    </row>
    <row r="353" spans="1:13" x14ac:dyDescent="0.25">
      <c r="A353" s="2" t="s">
        <v>560</v>
      </c>
      <c r="B353" s="3">
        <v>46351</v>
      </c>
      <c r="C353" s="3" t="s">
        <v>850</v>
      </c>
      <c r="D353" s="2" t="s">
        <v>24</v>
      </c>
      <c r="E353" s="2" t="s">
        <v>116</v>
      </c>
      <c r="F353" s="2" t="s">
        <v>114</v>
      </c>
      <c r="G353" s="2" t="s">
        <v>36</v>
      </c>
      <c r="H353" s="2">
        <v>1</v>
      </c>
      <c r="I353" s="4">
        <v>9500</v>
      </c>
      <c r="J353" s="2" t="s">
        <v>22</v>
      </c>
      <c r="K353" s="2" t="s">
        <v>17</v>
      </c>
      <c r="L353" s="4">
        <f t="shared" si="10"/>
        <v>9500</v>
      </c>
      <c r="M353" t="str">
        <f t="shared" si="11"/>
        <v>Counted</v>
      </c>
    </row>
    <row r="354" spans="1:13" x14ac:dyDescent="0.25">
      <c r="A354" s="2" t="s">
        <v>561</v>
      </c>
      <c r="B354" s="3">
        <v>46351</v>
      </c>
      <c r="C354" s="3" t="s">
        <v>850</v>
      </c>
      <c r="D354" s="2" t="s">
        <v>19</v>
      </c>
      <c r="E354" s="2" t="s">
        <v>116</v>
      </c>
      <c r="F354" s="2" t="s">
        <v>62</v>
      </c>
      <c r="G354" s="2" t="s">
        <v>41</v>
      </c>
      <c r="H354" s="2">
        <v>1</v>
      </c>
      <c r="I354" s="4">
        <v>2200</v>
      </c>
      <c r="J354" s="2" t="s">
        <v>22</v>
      </c>
      <c r="K354" s="2" t="s">
        <v>17</v>
      </c>
      <c r="L354" s="4">
        <f t="shared" si="10"/>
        <v>2200</v>
      </c>
      <c r="M354" t="str">
        <f t="shared" si="11"/>
        <v>Counted</v>
      </c>
    </row>
    <row r="355" spans="1:13" x14ac:dyDescent="0.25">
      <c r="A355" s="2" t="s">
        <v>562</v>
      </c>
      <c r="B355" s="3">
        <v>46351</v>
      </c>
      <c r="C355" s="3" t="s">
        <v>850</v>
      </c>
      <c r="D355" s="2" t="s">
        <v>24</v>
      </c>
      <c r="E355" s="2" t="s">
        <v>209</v>
      </c>
      <c r="F355" s="2" t="s">
        <v>95</v>
      </c>
      <c r="G355" s="2" t="s">
        <v>15</v>
      </c>
      <c r="H355" s="2">
        <v>1</v>
      </c>
      <c r="I355" s="4">
        <v>58000</v>
      </c>
      <c r="J355" s="2" t="s">
        <v>22</v>
      </c>
      <c r="K355" s="2" t="s">
        <v>17</v>
      </c>
      <c r="L355" s="4">
        <f t="shared" si="10"/>
        <v>58000</v>
      </c>
      <c r="M355" t="str">
        <f t="shared" si="11"/>
        <v>Counted</v>
      </c>
    </row>
    <row r="356" spans="1:13" x14ac:dyDescent="0.25">
      <c r="A356" s="2" t="s">
        <v>563</v>
      </c>
      <c r="B356" s="3">
        <v>46351</v>
      </c>
      <c r="C356" s="3" t="s">
        <v>850</v>
      </c>
      <c r="D356" s="2" t="s">
        <v>30</v>
      </c>
      <c r="E356" s="2" t="s">
        <v>463</v>
      </c>
      <c r="F356" s="2" t="s">
        <v>84</v>
      </c>
      <c r="G356" s="2" t="s">
        <v>53</v>
      </c>
      <c r="H356" s="2">
        <v>1</v>
      </c>
      <c r="I356" s="4">
        <v>22000</v>
      </c>
      <c r="J356" s="2" t="s">
        <v>16</v>
      </c>
      <c r="K356" s="2" t="s">
        <v>28</v>
      </c>
      <c r="L356" s="4">
        <f t="shared" si="10"/>
        <v>22000</v>
      </c>
      <c r="M356" t="str">
        <f t="shared" si="11"/>
        <v>Counted</v>
      </c>
    </row>
    <row r="357" spans="1:13" x14ac:dyDescent="0.25">
      <c r="A357" s="2" t="s">
        <v>564</v>
      </c>
      <c r="B357" s="3">
        <v>46351</v>
      </c>
      <c r="C357" s="3" t="s">
        <v>850</v>
      </c>
      <c r="D357" s="2" t="s">
        <v>24</v>
      </c>
      <c r="E357" s="2" t="s">
        <v>558</v>
      </c>
      <c r="F357" s="2" t="s">
        <v>133</v>
      </c>
      <c r="G357" s="2" t="s">
        <v>15</v>
      </c>
      <c r="H357" s="2">
        <v>1</v>
      </c>
      <c r="I357" s="4">
        <v>1800</v>
      </c>
      <c r="J357" s="2" t="s">
        <v>16</v>
      </c>
      <c r="K357" s="2" t="s">
        <v>17</v>
      </c>
      <c r="L357" s="4">
        <f t="shared" si="10"/>
        <v>1800</v>
      </c>
      <c r="M357" t="str">
        <f t="shared" si="11"/>
        <v>Counted</v>
      </c>
    </row>
    <row r="358" spans="1:13" x14ac:dyDescent="0.25">
      <c r="A358" s="2" t="s">
        <v>565</v>
      </c>
      <c r="B358" s="3">
        <v>46351</v>
      </c>
      <c r="C358" s="3" t="s">
        <v>850</v>
      </c>
      <c r="D358" s="2" t="s">
        <v>24</v>
      </c>
      <c r="E358" s="2" t="s">
        <v>566</v>
      </c>
      <c r="F358" s="2" t="s">
        <v>68</v>
      </c>
      <c r="G358" s="2" t="s">
        <v>41</v>
      </c>
      <c r="H358" s="2">
        <v>1</v>
      </c>
      <c r="I358" s="4">
        <v>1500</v>
      </c>
      <c r="J358" s="2" t="s">
        <v>27</v>
      </c>
      <c r="K358" s="2" t="s">
        <v>17</v>
      </c>
      <c r="L358" s="4">
        <f t="shared" si="10"/>
        <v>1500</v>
      </c>
      <c r="M358" t="str">
        <f t="shared" si="11"/>
        <v>Counted</v>
      </c>
    </row>
    <row r="359" spans="1:13" x14ac:dyDescent="0.25">
      <c r="A359" s="2" t="s">
        <v>567</v>
      </c>
      <c r="B359" s="3">
        <v>46351</v>
      </c>
      <c r="C359" s="3" t="s">
        <v>850</v>
      </c>
      <c r="D359" s="2" t="s">
        <v>19</v>
      </c>
      <c r="E359" s="2" t="s">
        <v>372</v>
      </c>
      <c r="F359" s="2" t="s">
        <v>73</v>
      </c>
      <c r="G359" s="2" t="s">
        <v>15</v>
      </c>
      <c r="H359" s="2">
        <v>1</v>
      </c>
      <c r="I359" s="4">
        <v>18000</v>
      </c>
      <c r="J359" s="2" t="s">
        <v>92</v>
      </c>
      <c r="K359" s="2" t="s">
        <v>17</v>
      </c>
      <c r="L359" s="4">
        <f t="shared" si="10"/>
        <v>18000</v>
      </c>
      <c r="M359" t="str">
        <f t="shared" si="11"/>
        <v>Counted</v>
      </c>
    </row>
    <row r="360" spans="1:13" x14ac:dyDescent="0.25">
      <c r="A360" s="2" t="s">
        <v>568</v>
      </c>
      <c r="B360" s="3">
        <v>46351</v>
      </c>
      <c r="C360" s="3" t="s">
        <v>850</v>
      </c>
      <c r="D360" s="2" t="s">
        <v>19</v>
      </c>
      <c r="E360" s="2" t="s">
        <v>341</v>
      </c>
      <c r="F360" s="2" t="s">
        <v>32</v>
      </c>
      <c r="G360" s="2" t="s">
        <v>15</v>
      </c>
      <c r="H360" s="2">
        <v>1</v>
      </c>
      <c r="I360" s="4">
        <v>52000</v>
      </c>
      <c r="J360" s="2" t="s">
        <v>37</v>
      </c>
      <c r="K360" s="2" t="s">
        <v>17</v>
      </c>
      <c r="L360" s="4">
        <f t="shared" si="10"/>
        <v>52000</v>
      </c>
      <c r="M360" t="str">
        <f t="shared" si="11"/>
        <v>Counted</v>
      </c>
    </row>
    <row r="361" spans="1:13" x14ac:dyDescent="0.25">
      <c r="A361" s="2" t="s">
        <v>569</v>
      </c>
      <c r="B361" s="3">
        <v>46351</v>
      </c>
      <c r="C361" s="3" t="s">
        <v>850</v>
      </c>
      <c r="D361" s="2" t="s">
        <v>19</v>
      </c>
      <c r="E361" s="2" t="s">
        <v>224</v>
      </c>
      <c r="F361" s="2" t="s">
        <v>65</v>
      </c>
      <c r="G361" s="2" t="s">
        <v>36</v>
      </c>
      <c r="H361" s="2">
        <v>1</v>
      </c>
      <c r="I361" s="4">
        <v>28000</v>
      </c>
      <c r="J361" s="2" t="s">
        <v>37</v>
      </c>
      <c r="K361" s="2" t="s">
        <v>17</v>
      </c>
      <c r="L361" s="4">
        <f t="shared" si="10"/>
        <v>28000</v>
      </c>
      <c r="M361" t="str">
        <f t="shared" si="11"/>
        <v>Counted</v>
      </c>
    </row>
    <row r="362" spans="1:13" x14ac:dyDescent="0.25">
      <c r="A362" s="2" t="s">
        <v>570</v>
      </c>
      <c r="B362" s="3">
        <v>46351</v>
      </c>
      <c r="C362" s="3" t="s">
        <v>850</v>
      </c>
      <c r="D362" s="2" t="s">
        <v>30</v>
      </c>
      <c r="E362" s="2" t="s">
        <v>81</v>
      </c>
      <c r="F362" s="2" t="s">
        <v>65</v>
      </c>
      <c r="G362" s="2" t="s">
        <v>36</v>
      </c>
      <c r="H362" s="2">
        <v>1</v>
      </c>
      <c r="I362" s="4">
        <v>28000</v>
      </c>
      <c r="J362" s="2" t="s">
        <v>22</v>
      </c>
      <c r="K362" s="2" t="s">
        <v>107</v>
      </c>
      <c r="L362" s="4">
        <f t="shared" si="10"/>
        <v>28000</v>
      </c>
      <c r="M362" t="str">
        <f t="shared" si="11"/>
        <v>Not Counted</v>
      </c>
    </row>
    <row r="363" spans="1:13" x14ac:dyDescent="0.25">
      <c r="A363" s="2" t="s">
        <v>571</v>
      </c>
      <c r="B363" s="3">
        <v>46351</v>
      </c>
      <c r="C363" s="3" t="s">
        <v>850</v>
      </c>
      <c r="D363" s="2" t="s">
        <v>19</v>
      </c>
      <c r="E363" s="2" t="s">
        <v>572</v>
      </c>
      <c r="F363" s="2" t="s">
        <v>65</v>
      </c>
      <c r="G363" s="2" t="s">
        <v>36</v>
      </c>
      <c r="H363" s="2">
        <v>1</v>
      </c>
      <c r="I363" s="4">
        <v>28000</v>
      </c>
      <c r="J363" s="2" t="s">
        <v>27</v>
      </c>
      <c r="K363" s="2" t="s">
        <v>17</v>
      </c>
      <c r="L363" s="4">
        <f t="shared" si="10"/>
        <v>28000</v>
      </c>
      <c r="M363" t="str">
        <f t="shared" si="11"/>
        <v>Counted</v>
      </c>
    </row>
    <row r="364" spans="1:13" x14ac:dyDescent="0.25">
      <c r="A364" s="2" t="s">
        <v>573</v>
      </c>
      <c r="B364" s="3">
        <v>46352</v>
      </c>
      <c r="C364" s="3" t="s">
        <v>850</v>
      </c>
      <c r="D364" s="2" t="s">
        <v>19</v>
      </c>
      <c r="E364" s="2" t="s">
        <v>398</v>
      </c>
      <c r="F364" s="2" t="s">
        <v>35</v>
      </c>
      <c r="G364" s="2" t="s">
        <v>36</v>
      </c>
      <c r="H364" s="2">
        <v>1</v>
      </c>
      <c r="I364" s="4">
        <v>12000</v>
      </c>
      <c r="J364" s="2" t="s">
        <v>22</v>
      </c>
      <c r="K364" s="2" t="s">
        <v>17</v>
      </c>
      <c r="L364" s="4">
        <f t="shared" si="10"/>
        <v>12000</v>
      </c>
      <c r="M364" t="str">
        <f t="shared" si="11"/>
        <v>Counted</v>
      </c>
    </row>
    <row r="365" spans="1:13" x14ac:dyDescent="0.25">
      <c r="A365" s="2" t="s">
        <v>574</v>
      </c>
      <c r="B365" s="3">
        <v>46352</v>
      </c>
      <c r="C365" s="3" t="s">
        <v>850</v>
      </c>
      <c r="D365" s="2" t="s">
        <v>30</v>
      </c>
      <c r="E365" s="2" t="s">
        <v>327</v>
      </c>
      <c r="F365" s="2" t="s">
        <v>117</v>
      </c>
      <c r="G365" s="2" t="s">
        <v>46</v>
      </c>
      <c r="H365" s="2">
        <v>3</v>
      </c>
      <c r="I365" s="4">
        <v>2800</v>
      </c>
      <c r="J365" s="2" t="s">
        <v>27</v>
      </c>
      <c r="K365" s="2" t="s">
        <v>17</v>
      </c>
      <c r="L365" s="4">
        <f t="shared" si="10"/>
        <v>8400</v>
      </c>
      <c r="M365" t="str">
        <f t="shared" si="11"/>
        <v>Counted</v>
      </c>
    </row>
    <row r="366" spans="1:13" x14ac:dyDescent="0.25">
      <c r="A366" s="2" t="s">
        <v>575</v>
      </c>
      <c r="B366" s="3">
        <v>46352</v>
      </c>
      <c r="C366" s="3" t="s">
        <v>850</v>
      </c>
      <c r="D366" s="2" t="s">
        <v>30</v>
      </c>
      <c r="E366" s="2" t="s">
        <v>178</v>
      </c>
      <c r="F366" s="2" t="s">
        <v>102</v>
      </c>
      <c r="G366" s="2" t="s">
        <v>53</v>
      </c>
      <c r="H366" s="2">
        <v>1</v>
      </c>
      <c r="I366" s="4">
        <v>12500</v>
      </c>
      <c r="J366" s="2" t="s">
        <v>27</v>
      </c>
      <c r="K366" s="2" t="s">
        <v>42</v>
      </c>
      <c r="L366" s="4">
        <f t="shared" si="10"/>
        <v>12500</v>
      </c>
      <c r="M366" t="str">
        <f t="shared" si="11"/>
        <v>Not Counted</v>
      </c>
    </row>
    <row r="367" spans="1:13" x14ac:dyDescent="0.25">
      <c r="A367" s="2" t="s">
        <v>576</v>
      </c>
      <c r="B367" s="3">
        <v>46352</v>
      </c>
      <c r="C367" s="3" t="s">
        <v>850</v>
      </c>
      <c r="D367" s="2" t="s">
        <v>19</v>
      </c>
      <c r="E367" s="2" t="s">
        <v>521</v>
      </c>
      <c r="F367" s="2" t="s">
        <v>95</v>
      </c>
      <c r="G367" s="2" t="s">
        <v>15</v>
      </c>
      <c r="H367" s="2">
        <v>1</v>
      </c>
      <c r="I367" s="4">
        <v>58000</v>
      </c>
      <c r="J367" s="2" t="s">
        <v>16</v>
      </c>
      <c r="K367" s="2" t="s">
        <v>17</v>
      </c>
      <c r="L367" s="4">
        <f t="shared" si="10"/>
        <v>58000</v>
      </c>
      <c r="M367" t="str">
        <f t="shared" si="11"/>
        <v>Counted</v>
      </c>
    </row>
    <row r="368" spans="1:13" x14ac:dyDescent="0.25">
      <c r="A368" s="2" t="s">
        <v>577</v>
      </c>
      <c r="B368" s="3">
        <v>46352</v>
      </c>
      <c r="C368" s="3" t="s">
        <v>850</v>
      </c>
      <c r="D368" s="2" t="s">
        <v>30</v>
      </c>
      <c r="E368" s="2" t="s">
        <v>578</v>
      </c>
      <c r="F368" s="2" t="s">
        <v>73</v>
      </c>
      <c r="G368" s="2" t="s">
        <v>15</v>
      </c>
      <c r="H368" s="2">
        <v>1</v>
      </c>
      <c r="I368" s="4">
        <v>18000</v>
      </c>
      <c r="J368" s="2" t="s">
        <v>16</v>
      </c>
      <c r="K368" s="2" t="s">
        <v>17</v>
      </c>
      <c r="L368" s="4">
        <f t="shared" si="10"/>
        <v>18000</v>
      </c>
      <c r="M368" t="str">
        <f t="shared" si="11"/>
        <v>Counted</v>
      </c>
    </row>
    <row r="369" spans="1:13" x14ac:dyDescent="0.25">
      <c r="A369" s="2" t="s">
        <v>579</v>
      </c>
      <c r="B369" s="3">
        <v>46352</v>
      </c>
      <c r="C369" s="3" t="s">
        <v>850</v>
      </c>
      <c r="D369" s="2" t="s">
        <v>19</v>
      </c>
      <c r="E369" s="2" t="s">
        <v>580</v>
      </c>
      <c r="F369" s="2" t="s">
        <v>62</v>
      </c>
      <c r="G369" s="2" t="s">
        <v>41</v>
      </c>
      <c r="H369" s="2">
        <v>3</v>
      </c>
      <c r="I369" s="4">
        <v>2200</v>
      </c>
      <c r="J369" s="2" t="s">
        <v>16</v>
      </c>
      <c r="K369" s="2" t="s">
        <v>17</v>
      </c>
      <c r="L369" s="4">
        <f t="shared" si="10"/>
        <v>6600</v>
      </c>
      <c r="M369" t="str">
        <f t="shared" si="11"/>
        <v>Counted</v>
      </c>
    </row>
    <row r="370" spans="1:13" x14ac:dyDescent="0.25">
      <c r="A370" s="2" t="s">
        <v>581</v>
      </c>
      <c r="B370" s="3">
        <v>46352</v>
      </c>
      <c r="C370" s="3" t="s">
        <v>850</v>
      </c>
      <c r="D370" s="2" t="s">
        <v>12</v>
      </c>
      <c r="E370" s="2" t="s">
        <v>401</v>
      </c>
      <c r="F370" s="2" t="s">
        <v>59</v>
      </c>
      <c r="G370" s="2" t="s">
        <v>53</v>
      </c>
      <c r="H370" s="2">
        <v>1</v>
      </c>
      <c r="I370" s="4">
        <v>3800</v>
      </c>
      <c r="J370" s="2" t="s">
        <v>92</v>
      </c>
      <c r="K370" s="2" t="s">
        <v>28</v>
      </c>
      <c r="L370" s="4">
        <f t="shared" si="10"/>
        <v>3800</v>
      </c>
      <c r="M370" t="str">
        <f t="shared" si="11"/>
        <v>Counted</v>
      </c>
    </row>
    <row r="371" spans="1:13" x14ac:dyDescent="0.25">
      <c r="A371" s="2" t="s">
        <v>582</v>
      </c>
      <c r="B371" s="3">
        <v>46353</v>
      </c>
      <c r="C371" s="3" t="s">
        <v>850</v>
      </c>
      <c r="D371" s="2" t="s">
        <v>12</v>
      </c>
      <c r="E371" s="2" t="s">
        <v>242</v>
      </c>
      <c r="F371" s="2" t="s">
        <v>87</v>
      </c>
      <c r="G371" s="2" t="s">
        <v>46</v>
      </c>
      <c r="H371" s="2">
        <v>1</v>
      </c>
      <c r="I371" s="4">
        <v>1600</v>
      </c>
      <c r="J371" s="2" t="s">
        <v>27</v>
      </c>
      <c r="K371" s="2" t="s">
        <v>17</v>
      </c>
      <c r="L371" s="4">
        <f t="shared" si="10"/>
        <v>1600</v>
      </c>
      <c r="M371" t="str">
        <f t="shared" si="11"/>
        <v>Counted</v>
      </c>
    </row>
    <row r="372" spans="1:13" x14ac:dyDescent="0.25">
      <c r="A372" s="2" t="s">
        <v>583</v>
      </c>
      <c r="B372" s="3">
        <v>46353</v>
      </c>
      <c r="C372" s="3" t="s">
        <v>850</v>
      </c>
      <c r="D372" s="2" t="s">
        <v>12</v>
      </c>
      <c r="E372" s="2" t="s">
        <v>119</v>
      </c>
      <c r="F372" s="2" t="s">
        <v>152</v>
      </c>
      <c r="G372" s="2" t="s">
        <v>36</v>
      </c>
      <c r="H372" s="2">
        <v>1</v>
      </c>
      <c r="I372" s="4">
        <v>6500</v>
      </c>
      <c r="J372" s="2" t="s">
        <v>37</v>
      </c>
      <c r="K372" s="2" t="s">
        <v>17</v>
      </c>
      <c r="L372" s="4">
        <f t="shared" si="10"/>
        <v>6500</v>
      </c>
      <c r="M372" t="str">
        <f t="shared" si="11"/>
        <v>Counted</v>
      </c>
    </row>
    <row r="373" spans="1:13" x14ac:dyDescent="0.25">
      <c r="A373" s="2" t="s">
        <v>584</v>
      </c>
      <c r="B373" s="3">
        <v>46353</v>
      </c>
      <c r="C373" s="3" t="s">
        <v>850</v>
      </c>
      <c r="D373" s="2" t="s">
        <v>24</v>
      </c>
      <c r="E373" s="2" t="s">
        <v>123</v>
      </c>
      <c r="F373" s="2" t="s">
        <v>40</v>
      </c>
      <c r="G373" s="2" t="s">
        <v>41</v>
      </c>
      <c r="H373" s="2">
        <v>3</v>
      </c>
      <c r="I373" s="4">
        <v>2400</v>
      </c>
      <c r="J373" s="2" t="s">
        <v>22</v>
      </c>
      <c r="K373" s="2" t="s">
        <v>17</v>
      </c>
      <c r="L373" s="4">
        <f t="shared" si="10"/>
        <v>7200</v>
      </c>
      <c r="M373" t="str">
        <f t="shared" si="11"/>
        <v>Counted</v>
      </c>
    </row>
    <row r="374" spans="1:13" x14ac:dyDescent="0.25">
      <c r="A374" s="2" t="s">
        <v>585</v>
      </c>
      <c r="B374" s="3">
        <v>46353</v>
      </c>
      <c r="C374" s="3" t="s">
        <v>850</v>
      </c>
      <c r="D374" s="2" t="s">
        <v>30</v>
      </c>
      <c r="E374" s="2" t="s">
        <v>393</v>
      </c>
      <c r="F374" s="2" t="s">
        <v>73</v>
      </c>
      <c r="G374" s="2" t="s">
        <v>15</v>
      </c>
      <c r="H374" s="2">
        <v>1</v>
      </c>
      <c r="I374" s="4">
        <v>18000</v>
      </c>
      <c r="J374" s="2" t="s">
        <v>16</v>
      </c>
      <c r="K374" s="2" t="s">
        <v>17</v>
      </c>
      <c r="L374" s="4">
        <f t="shared" si="10"/>
        <v>18000</v>
      </c>
      <c r="M374" t="str">
        <f t="shared" si="11"/>
        <v>Counted</v>
      </c>
    </row>
    <row r="375" spans="1:13" x14ac:dyDescent="0.25">
      <c r="A375" s="2" t="s">
        <v>586</v>
      </c>
      <c r="B375" s="3">
        <v>46354</v>
      </c>
      <c r="C375" s="3" t="s">
        <v>850</v>
      </c>
      <c r="D375" s="2" t="s">
        <v>30</v>
      </c>
      <c r="E375" s="2" t="s">
        <v>309</v>
      </c>
      <c r="F375" s="2" t="s">
        <v>52</v>
      </c>
      <c r="G375" s="2" t="s">
        <v>53</v>
      </c>
      <c r="H375" s="2">
        <v>1</v>
      </c>
      <c r="I375" s="4">
        <v>8500</v>
      </c>
      <c r="J375" s="2" t="s">
        <v>37</v>
      </c>
      <c r="K375" s="2" t="s">
        <v>17</v>
      </c>
      <c r="L375" s="4">
        <f t="shared" si="10"/>
        <v>8500</v>
      </c>
      <c r="M375" t="str">
        <f t="shared" si="11"/>
        <v>Counted</v>
      </c>
    </row>
    <row r="376" spans="1:13" x14ac:dyDescent="0.25">
      <c r="A376" s="2" t="s">
        <v>587</v>
      </c>
      <c r="B376" s="3">
        <v>46354</v>
      </c>
      <c r="C376" s="3" t="s">
        <v>850</v>
      </c>
      <c r="D376" s="2" t="s">
        <v>12</v>
      </c>
      <c r="E376" s="2" t="s">
        <v>157</v>
      </c>
      <c r="F376" s="2" t="s">
        <v>114</v>
      </c>
      <c r="G376" s="2" t="s">
        <v>36</v>
      </c>
      <c r="H376" s="2">
        <v>1</v>
      </c>
      <c r="I376" s="4">
        <v>9500</v>
      </c>
      <c r="J376" s="2" t="s">
        <v>37</v>
      </c>
      <c r="K376" s="2" t="s">
        <v>28</v>
      </c>
      <c r="L376" s="4">
        <f t="shared" si="10"/>
        <v>9500</v>
      </c>
      <c r="M376" t="str">
        <f t="shared" si="11"/>
        <v>Counted</v>
      </c>
    </row>
    <row r="377" spans="1:13" x14ac:dyDescent="0.25">
      <c r="A377" s="2" t="s">
        <v>588</v>
      </c>
      <c r="B377" s="3">
        <v>46354</v>
      </c>
      <c r="C377" s="3" t="s">
        <v>850</v>
      </c>
      <c r="D377" s="2" t="s">
        <v>19</v>
      </c>
      <c r="E377" s="2" t="s">
        <v>589</v>
      </c>
      <c r="F377" s="2" t="s">
        <v>152</v>
      </c>
      <c r="G377" s="2" t="s">
        <v>36</v>
      </c>
      <c r="H377" s="2">
        <v>1</v>
      </c>
      <c r="I377" s="4">
        <v>6500</v>
      </c>
      <c r="J377" s="2" t="s">
        <v>16</v>
      </c>
      <c r="K377" s="2" t="s">
        <v>17</v>
      </c>
      <c r="L377" s="4">
        <f t="shared" si="10"/>
        <v>6500</v>
      </c>
      <c r="M377" t="str">
        <f t="shared" si="11"/>
        <v>Counted</v>
      </c>
    </row>
    <row r="378" spans="1:13" x14ac:dyDescent="0.25">
      <c r="A378" s="2" t="s">
        <v>590</v>
      </c>
      <c r="B378" s="3">
        <v>46354</v>
      </c>
      <c r="C378" s="3" t="s">
        <v>850</v>
      </c>
      <c r="D378" s="2" t="s">
        <v>19</v>
      </c>
      <c r="E378" s="2" t="s">
        <v>226</v>
      </c>
      <c r="F378" s="2" t="s">
        <v>26</v>
      </c>
      <c r="G378" s="2" t="s">
        <v>15</v>
      </c>
      <c r="H378" s="2">
        <v>1</v>
      </c>
      <c r="I378" s="4">
        <v>24000</v>
      </c>
      <c r="J378" s="2" t="s">
        <v>22</v>
      </c>
      <c r="K378" s="2" t="s">
        <v>17</v>
      </c>
      <c r="L378" s="4">
        <f t="shared" si="10"/>
        <v>24000</v>
      </c>
      <c r="M378" t="str">
        <f t="shared" si="11"/>
        <v>Counted</v>
      </c>
    </row>
    <row r="379" spans="1:13" x14ac:dyDescent="0.25">
      <c r="A379" s="2" t="s">
        <v>591</v>
      </c>
      <c r="B379" s="3">
        <v>46354</v>
      </c>
      <c r="C379" s="3" t="s">
        <v>850</v>
      </c>
      <c r="D379" s="2" t="s">
        <v>24</v>
      </c>
      <c r="E379" s="2" t="s">
        <v>206</v>
      </c>
      <c r="F379" s="2" t="s">
        <v>59</v>
      </c>
      <c r="G379" s="2" t="s">
        <v>53</v>
      </c>
      <c r="H379" s="2">
        <v>1</v>
      </c>
      <c r="I379" s="4">
        <v>3800</v>
      </c>
      <c r="J379" s="2" t="s">
        <v>22</v>
      </c>
      <c r="K379" s="2" t="s">
        <v>28</v>
      </c>
      <c r="L379" s="4">
        <f t="shared" si="10"/>
        <v>3800</v>
      </c>
      <c r="M379" t="str">
        <f t="shared" si="11"/>
        <v>Counted</v>
      </c>
    </row>
    <row r="380" spans="1:13" x14ac:dyDescent="0.25">
      <c r="A380" s="2" t="s">
        <v>592</v>
      </c>
      <c r="B380" s="3">
        <v>46354</v>
      </c>
      <c r="C380" s="3" t="s">
        <v>850</v>
      </c>
      <c r="D380" s="2" t="s">
        <v>30</v>
      </c>
      <c r="E380" s="2" t="s">
        <v>204</v>
      </c>
      <c r="F380" s="2" t="s">
        <v>102</v>
      </c>
      <c r="G380" s="2" t="s">
        <v>53</v>
      </c>
      <c r="H380" s="2">
        <v>1</v>
      </c>
      <c r="I380" s="4">
        <v>12500</v>
      </c>
      <c r="J380" s="2" t="s">
        <v>22</v>
      </c>
      <c r="K380" s="2" t="s">
        <v>17</v>
      </c>
      <c r="L380" s="4">
        <f t="shared" si="10"/>
        <v>12500</v>
      </c>
      <c r="M380" t="str">
        <f t="shared" si="11"/>
        <v>Counted</v>
      </c>
    </row>
    <row r="381" spans="1:13" x14ac:dyDescent="0.25">
      <c r="A381" s="2" t="s">
        <v>593</v>
      </c>
      <c r="B381" s="3">
        <v>46354</v>
      </c>
      <c r="C381" s="3" t="s">
        <v>850</v>
      </c>
      <c r="D381" s="2" t="s">
        <v>19</v>
      </c>
      <c r="E381" s="2" t="s">
        <v>202</v>
      </c>
      <c r="F381" s="2" t="s">
        <v>62</v>
      </c>
      <c r="G381" s="2" t="s">
        <v>41</v>
      </c>
      <c r="H381" s="2">
        <v>1</v>
      </c>
      <c r="I381" s="4">
        <v>2200</v>
      </c>
      <c r="J381" s="2" t="s">
        <v>22</v>
      </c>
      <c r="K381" s="2" t="s">
        <v>17</v>
      </c>
      <c r="L381" s="4">
        <f t="shared" si="10"/>
        <v>2200</v>
      </c>
      <c r="M381" t="str">
        <f t="shared" si="11"/>
        <v>Counted</v>
      </c>
    </row>
    <row r="382" spans="1:13" x14ac:dyDescent="0.25">
      <c r="A382" s="2" t="s">
        <v>594</v>
      </c>
      <c r="B382" s="3">
        <v>46354</v>
      </c>
      <c r="C382" s="3" t="s">
        <v>850</v>
      </c>
      <c r="D382" s="2" t="s">
        <v>30</v>
      </c>
      <c r="E382" s="2" t="s">
        <v>333</v>
      </c>
      <c r="F382" s="2" t="s">
        <v>68</v>
      </c>
      <c r="G382" s="2" t="s">
        <v>41</v>
      </c>
      <c r="H382" s="2">
        <v>1</v>
      </c>
      <c r="I382" s="4">
        <v>1500</v>
      </c>
      <c r="J382" s="2" t="s">
        <v>92</v>
      </c>
      <c r="K382" s="2" t="s">
        <v>17</v>
      </c>
      <c r="L382" s="4">
        <f t="shared" si="10"/>
        <v>1500</v>
      </c>
      <c r="M382" t="str">
        <f t="shared" si="11"/>
        <v>Counted</v>
      </c>
    </row>
    <row r="383" spans="1:13" x14ac:dyDescent="0.25">
      <c r="A383" s="2" t="s">
        <v>595</v>
      </c>
      <c r="B383" s="3">
        <v>46354</v>
      </c>
      <c r="C383" s="3" t="s">
        <v>850</v>
      </c>
      <c r="D383" s="2" t="s">
        <v>24</v>
      </c>
      <c r="E383" s="2" t="s">
        <v>385</v>
      </c>
      <c r="F383" s="2" t="s">
        <v>59</v>
      </c>
      <c r="G383" s="2" t="s">
        <v>53</v>
      </c>
      <c r="H383" s="2">
        <v>1</v>
      </c>
      <c r="I383" s="4">
        <v>3800</v>
      </c>
      <c r="J383" s="2" t="s">
        <v>92</v>
      </c>
      <c r="K383" s="2" t="s">
        <v>28</v>
      </c>
      <c r="L383" s="4">
        <f t="shared" si="10"/>
        <v>3800</v>
      </c>
      <c r="M383" t="str">
        <f t="shared" si="11"/>
        <v>Counted</v>
      </c>
    </row>
    <row r="384" spans="1:13" x14ac:dyDescent="0.25">
      <c r="A384" s="2" t="s">
        <v>596</v>
      </c>
      <c r="B384" s="3">
        <v>46354</v>
      </c>
      <c r="C384" s="3" t="s">
        <v>850</v>
      </c>
      <c r="D384" s="2" t="s">
        <v>30</v>
      </c>
      <c r="E384" s="2" t="s">
        <v>398</v>
      </c>
      <c r="F384" s="2" t="s">
        <v>117</v>
      </c>
      <c r="G384" s="2" t="s">
        <v>46</v>
      </c>
      <c r="H384" s="2">
        <v>1</v>
      </c>
      <c r="I384" s="4">
        <v>2800</v>
      </c>
      <c r="J384" s="2" t="s">
        <v>22</v>
      </c>
      <c r="K384" s="2" t="s">
        <v>17</v>
      </c>
      <c r="L384" s="4">
        <f t="shared" si="10"/>
        <v>2800</v>
      </c>
      <c r="M384" t="str">
        <f t="shared" si="11"/>
        <v>Counted</v>
      </c>
    </row>
    <row r="385" spans="1:13" x14ac:dyDescent="0.25">
      <c r="A385" s="2" t="s">
        <v>597</v>
      </c>
      <c r="B385" s="3">
        <v>46355</v>
      </c>
      <c r="C385" s="3" t="s">
        <v>850</v>
      </c>
      <c r="D385" s="2" t="s">
        <v>19</v>
      </c>
      <c r="E385" s="2" t="s">
        <v>253</v>
      </c>
      <c r="F385" s="2" t="s">
        <v>35</v>
      </c>
      <c r="G385" s="2" t="s">
        <v>36</v>
      </c>
      <c r="H385" s="2">
        <v>1</v>
      </c>
      <c r="I385" s="4">
        <v>12000</v>
      </c>
      <c r="J385" s="2" t="s">
        <v>37</v>
      </c>
      <c r="K385" s="2" t="s">
        <v>17</v>
      </c>
      <c r="L385" s="4">
        <f t="shared" si="10"/>
        <v>12000</v>
      </c>
      <c r="M385" t="str">
        <f t="shared" si="11"/>
        <v>Counted</v>
      </c>
    </row>
    <row r="386" spans="1:13" x14ac:dyDescent="0.25">
      <c r="A386" s="2" t="s">
        <v>598</v>
      </c>
      <c r="B386" s="3">
        <v>46355</v>
      </c>
      <c r="C386" s="3" t="s">
        <v>850</v>
      </c>
      <c r="D386" s="2" t="s">
        <v>12</v>
      </c>
      <c r="E386" s="2" t="s">
        <v>323</v>
      </c>
      <c r="F386" s="2" t="s">
        <v>40</v>
      </c>
      <c r="G386" s="2" t="s">
        <v>41</v>
      </c>
      <c r="H386" s="2">
        <v>1</v>
      </c>
      <c r="I386" s="4">
        <v>2400</v>
      </c>
      <c r="J386" s="2" t="s">
        <v>16</v>
      </c>
      <c r="K386" s="2" t="s">
        <v>17</v>
      </c>
      <c r="L386" s="4">
        <f t="shared" ref="L386:L449" si="12">H386*I386</f>
        <v>2400</v>
      </c>
      <c r="M386" t="str">
        <f t="shared" si="11"/>
        <v>Counted</v>
      </c>
    </row>
    <row r="387" spans="1:13" x14ac:dyDescent="0.25">
      <c r="A387" s="2" t="s">
        <v>599</v>
      </c>
      <c r="B387" s="3">
        <v>46355</v>
      </c>
      <c r="C387" s="3" t="s">
        <v>850</v>
      </c>
      <c r="D387" s="2" t="s">
        <v>24</v>
      </c>
      <c r="E387" s="2" t="s">
        <v>280</v>
      </c>
      <c r="F387" s="2" t="s">
        <v>133</v>
      </c>
      <c r="G387" s="2" t="s">
        <v>15</v>
      </c>
      <c r="H387" s="2">
        <v>2</v>
      </c>
      <c r="I387" s="4">
        <v>1800</v>
      </c>
      <c r="J387" s="2" t="s">
        <v>92</v>
      </c>
      <c r="K387" s="2" t="s">
        <v>17</v>
      </c>
      <c r="L387" s="4">
        <f t="shared" si="12"/>
        <v>3600</v>
      </c>
      <c r="M387" t="str">
        <f t="shared" ref="M387:M450" si="13">IF(OR(K387="Cancelled",K387="Returned"),"Not Counted","Counted")</f>
        <v>Counted</v>
      </c>
    </row>
    <row r="388" spans="1:13" x14ac:dyDescent="0.25">
      <c r="A388" s="2" t="s">
        <v>600</v>
      </c>
      <c r="B388" s="3">
        <v>46355</v>
      </c>
      <c r="C388" s="3" t="s">
        <v>850</v>
      </c>
      <c r="D388" s="2" t="s">
        <v>24</v>
      </c>
      <c r="E388" s="2" t="s">
        <v>157</v>
      </c>
      <c r="F388" s="2" t="s">
        <v>65</v>
      </c>
      <c r="G388" s="2" t="s">
        <v>36</v>
      </c>
      <c r="H388" s="2">
        <v>1</v>
      </c>
      <c r="I388" s="4">
        <v>28000</v>
      </c>
      <c r="J388" s="2" t="s">
        <v>22</v>
      </c>
      <c r="K388" s="2" t="s">
        <v>28</v>
      </c>
      <c r="L388" s="4">
        <f t="shared" si="12"/>
        <v>28000</v>
      </c>
      <c r="M388" t="str">
        <f t="shared" si="13"/>
        <v>Counted</v>
      </c>
    </row>
    <row r="389" spans="1:13" x14ac:dyDescent="0.25">
      <c r="A389" s="2" t="s">
        <v>601</v>
      </c>
      <c r="B389" s="3">
        <v>46355</v>
      </c>
      <c r="C389" s="3" t="s">
        <v>850</v>
      </c>
      <c r="D389" s="2" t="s">
        <v>30</v>
      </c>
      <c r="E389" s="2" t="s">
        <v>572</v>
      </c>
      <c r="F389" s="2" t="s">
        <v>45</v>
      </c>
      <c r="G389" s="2" t="s">
        <v>46</v>
      </c>
      <c r="H389" s="2">
        <v>1</v>
      </c>
      <c r="I389" s="4">
        <v>3500</v>
      </c>
      <c r="J389" s="2" t="s">
        <v>16</v>
      </c>
      <c r="K389" s="2" t="s">
        <v>17</v>
      </c>
      <c r="L389" s="4">
        <f t="shared" si="12"/>
        <v>3500</v>
      </c>
      <c r="M389" t="str">
        <f t="shared" si="13"/>
        <v>Counted</v>
      </c>
    </row>
    <row r="390" spans="1:13" x14ac:dyDescent="0.25">
      <c r="A390" s="2" t="s">
        <v>602</v>
      </c>
      <c r="B390" s="3">
        <v>46355</v>
      </c>
      <c r="C390" s="3" t="s">
        <v>850</v>
      </c>
      <c r="D390" s="2" t="s">
        <v>30</v>
      </c>
      <c r="E390" s="2" t="s">
        <v>58</v>
      </c>
      <c r="F390" s="2" t="s">
        <v>56</v>
      </c>
      <c r="G390" s="2" t="s">
        <v>46</v>
      </c>
      <c r="H390" s="2">
        <v>1</v>
      </c>
      <c r="I390" s="4">
        <v>7500</v>
      </c>
      <c r="J390" s="2" t="s">
        <v>22</v>
      </c>
      <c r="K390" s="2" t="s">
        <v>17</v>
      </c>
      <c r="L390" s="4">
        <f t="shared" si="12"/>
        <v>7500</v>
      </c>
      <c r="M390" t="str">
        <f t="shared" si="13"/>
        <v>Counted</v>
      </c>
    </row>
    <row r="391" spans="1:13" x14ac:dyDescent="0.25">
      <c r="A391" s="2" t="s">
        <v>603</v>
      </c>
      <c r="B391" s="3">
        <v>46355</v>
      </c>
      <c r="C391" s="3" t="s">
        <v>850</v>
      </c>
      <c r="D391" s="2" t="s">
        <v>19</v>
      </c>
      <c r="E391" s="2" t="s">
        <v>228</v>
      </c>
      <c r="F391" s="2" t="s">
        <v>133</v>
      </c>
      <c r="G391" s="2" t="s">
        <v>15</v>
      </c>
      <c r="H391" s="2">
        <v>1</v>
      </c>
      <c r="I391" s="4">
        <v>1800</v>
      </c>
      <c r="J391" s="2" t="s">
        <v>22</v>
      </c>
      <c r="K391" s="2" t="s">
        <v>17</v>
      </c>
      <c r="L391" s="4">
        <f t="shared" si="12"/>
        <v>1800</v>
      </c>
      <c r="M391" t="str">
        <f t="shared" si="13"/>
        <v>Counted</v>
      </c>
    </row>
    <row r="392" spans="1:13" x14ac:dyDescent="0.25">
      <c r="A392" s="2" t="s">
        <v>604</v>
      </c>
      <c r="B392" s="3">
        <v>46355</v>
      </c>
      <c r="C392" s="3" t="s">
        <v>850</v>
      </c>
      <c r="D392" s="2" t="s">
        <v>30</v>
      </c>
      <c r="E392" s="2" t="s">
        <v>209</v>
      </c>
      <c r="F392" s="2" t="s">
        <v>14</v>
      </c>
      <c r="G392" s="2" t="s">
        <v>15</v>
      </c>
      <c r="H392" s="2">
        <v>1</v>
      </c>
      <c r="I392" s="4">
        <v>65000</v>
      </c>
      <c r="J392" s="2" t="s">
        <v>37</v>
      </c>
      <c r="K392" s="2" t="s">
        <v>17</v>
      </c>
      <c r="L392" s="4">
        <f t="shared" si="12"/>
        <v>65000</v>
      </c>
      <c r="M392" t="str">
        <f t="shared" si="13"/>
        <v>Counted</v>
      </c>
    </row>
    <row r="393" spans="1:13" x14ac:dyDescent="0.25">
      <c r="A393" s="2" t="s">
        <v>605</v>
      </c>
      <c r="B393" s="3">
        <v>46356</v>
      </c>
      <c r="C393" s="3" t="s">
        <v>850</v>
      </c>
      <c r="D393" s="2" t="s">
        <v>19</v>
      </c>
      <c r="E393" s="2" t="s">
        <v>77</v>
      </c>
      <c r="F393" s="2" t="s">
        <v>191</v>
      </c>
      <c r="G393" s="2" t="s">
        <v>41</v>
      </c>
      <c r="H393" s="2">
        <v>1</v>
      </c>
      <c r="I393" s="4">
        <v>1800</v>
      </c>
      <c r="J393" s="2" t="s">
        <v>92</v>
      </c>
      <c r="K393" s="2" t="s">
        <v>17</v>
      </c>
      <c r="L393" s="4">
        <f t="shared" si="12"/>
        <v>1800</v>
      </c>
      <c r="M393" t="str">
        <f t="shared" si="13"/>
        <v>Counted</v>
      </c>
    </row>
    <row r="394" spans="1:13" x14ac:dyDescent="0.25">
      <c r="A394" s="2" t="s">
        <v>606</v>
      </c>
      <c r="B394" s="3">
        <v>46356</v>
      </c>
      <c r="C394" s="3" t="s">
        <v>850</v>
      </c>
      <c r="D394" s="2" t="s">
        <v>12</v>
      </c>
      <c r="E394" s="2" t="s">
        <v>366</v>
      </c>
      <c r="F394" s="2" t="s">
        <v>133</v>
      </c>
      <c r="G394" s="2" t="s">
        <v>15</v>
      </c>
      <c r="H394" s="2">
        <v>1</v>
      </c>
      <c r="I394" s="4">
        <v>1800</v>
      </c>
      <c r="J394" s="2" t="s">
        <v>22</v>
      </c>
      <c r="K394" s="2" t="s">
        <v>17</v>
      </c>
      <c r="L394" s="4">
        <f t="shared" si="12"/>
        <v>1800</v>
      </c>
      <c r="M394" t="str">
        <f t="shared" si="13"/>
        <v>Counted</v>
      </c>
    </row>
    <row r="395" spans="1:13" x14ac:dyDescent="0.25">
      <c r="A395" s="2" t="s">
        <v>607</v>
      </c>
      <c r="B395" s="3">
        <v>46356</v>
      </c>
      <c r="C395" s="3" t="s">
        <v>850</v>
      </c>
      <c r="D395" s="2" t="s">
        <v>30</v>
      </c>
      <c r="E395" s="2" t="s">
        <v>55</v>
      </c>
      <c r="F395" s="2" t="s">
        <v>73</v>
      </c>
      <c r="G395" s="2" t="s">
        <v>15</v>
      </c>
      <c r="H395" s="2">
        <v>1</v>
      </c>
      <c r="I395" s="4">
        <v>18000</v>
      </c>
      <c r="J395" s="2" t="s">
        <v>16</v>
      </c>
      <c r="K395" s="2" t="s">
        <v>28</v>
      </c>
      <c r="L395" s="4">
        <f t="shared" si="12"/>
        <v>18000</v>
      </c>
      <c r="M395" t="str">
        <f t="shared" si="13"/>
        <v>Counted</v>
      </c>
    </row>
    <row r="396" spans="1:13" x14ac:dyDescent="0.25">
      <c r="A396" s="2" t="s">
        <v>608</v>
      </c>
      <c r="B396" s="3">
        <v>46356</v>
      </c>
      <c r="C396" s="3" t="s">
        <v>850</v>
      </c>
      <c r="D396" s="2" t="s">
        <v>12</v>
      </c>
      <c r="E396" s="2" t="s">
        <v>463</v>
      </c>
      <c r="F396" s="2" t="s">
        <v>84</v>
      </c>
      <c r="G396" s="2" t="s">
        <v>53</v>
      </c>
      <c r="H396" s="2">
        <v>1</v>
      </c>
      <c r="I396" s="4">
        <v>22000</v>
      </c>
      <c r="J396" s="2" t="s">
        <v>22</v>
      </c>
      <c r="K396" s="2" t="s">
        <v>28</v>
      </c>
      <c r="L396" s="4">
        <f t="shared" si="12"/>
        <v>22000</v>
      </c>
      <c r="M396" t="str">
        <f t="shared" si="13"/>
        <v>Counted</v>
      </c>
    </row>
    <row r="397" spans="1:13" x14ac:dyDescent="0.25">
      <c r="A397" s="2" t="s">
        <v>609</v>
      </c>
      <c r="B397" s="3">
        <v>46356</v>
      </c>
      <c r="C397" s="3" t="s">
        <v>850</v>
      </c>
      <c r="D397" s="2" t="s">
        <v>12</v>
      </c>
      <c r="E397" s="2" t="s">
        <v>366</v>
      </c>
      <c r="F397" s="2" t="s">
        <v>152</v>
      </c>
      <c r="G397" s="2" t="s">
        <v>36</v>
      </c>
      <c r="H397" s="2">
        <v>1</v>
      </c>
      <c r="I397" s="4">
        <v>6500</v>
      </c>
      <c r="J397" s="2" t="s">
        <v>92</v>
      </c>
      <c r="K397" s="2" t="s">
        <v>17</v>
      </c>
      <c r="L397" s="4">
        <f t="shared" si="12"/>
        <v>6500</v>
      </c>
      <c r="M397" t="str">
        <f t="shared" si="13"/>
        <v>Counted</v>
      </c>
    </row>
    <row r="398" spans="1:13" x14ac:dyDescent="0.25">
      <c r="A398" s="2" t="s">
        <v>610</v>
      </c>
      <c r="B398" s="3">
        <v>46356</v>
      </c>
      <c r="C398" s="3" t="s">
        <v>850</v>
      </c>
      <c r="D398" s="2" t="s">
        <v>30</v>
      </c>
      <c r="E398" s="2" t="s">
        <v>460</v>
      </c>
      <c r="F398" s="2" t="s">
        <v>68</v>
      </c>
      <c r="G398" s="2" t="s">
        <v>41</v>
      </c>
      <c r="H398" s="2">
        <v>1</v>
      </c>
      <c r="I398" s="4">
        <v>1500</v>
      </c>
      <c r="J398" s="2" t="s">
        <v>37</v>
      </c>
      <c r="K398" s="2" t="s">
        <v>17</v>
      </c>
      <c r="L398" s="4">
        <f t="shared" si="12"/>
        <v>1500</v>
      </c>
      <c r="M398" t="str">
        <f t="shared" si="13"/>
        <v>Counted</v>
      </c>
    </row>
    <row r="399" spans="1:13" x14ac:dyDescent="0.25">
      <c r="A399" s="2" t="s">
        <v>611</v>
      </c>
      <c r="B399" s="3">
        <v>46357</v>
      </c>
      <c r="C399" s="3" t="s">
        <v>851</v>
      </c>
      <c r="D399" s="2" t="s">
        <v>12</v>
      </c>
      <c r="E399" s="2" t="s">
        <v>178</v>
      </c>
      <c r="F399" s="2" t="s">
        <v>35</v>
      </c>
      <c r="G399" s="2" t="s">
        <v>36</v>
      </c>
      <c r="H399" s="2">
        <v>1</v>
      </c>
      <c r="I399" s="4">
        <v>12000</v>
      </c>
      <c r="J399" s="2" t="s">
        <v>37</v>
      </c>
      <c r="K399" s="2" t="s">
        <v>17</v>
      </c>
      <c r="L399" s="4">
        <f t="shared" si="12"/>
        <v>12000</v>
      </c>
      <c r="M399" t="str">
        <f t="shared" si="13"/>
        <v>Counted</v>
      </c>
    </row>
    <row r="400" spans="1:13" x14ac:dyDescent="0.25">
      <c r="A400" s="2" t="s">
        <v>612</v>
      </c>
      <c r="B400" s="3">
        <v>46357</v>
      </c>
      <c r="C400" s="3" t="s">
        <v>851</v>
      </c>
      <c r="D400" s="2" t="s">
        <v>24</v>
      </c>
      <c r="E400" s="2" t="s">
        <v>151</v>
      </c>
      <c r="F400" s="2" t="s">
        <v>73</v>
      </c>
      <c r="G400" s="2" t="s">
        <v>15</v>
      </c>
      <c r="H400" s="2">
        <v>1</v>
      </c>
      <c r="I400" s="4">
        <v>18000</v>
      </c>
      <c r="J400" s="2" t="s">
        <v>92</v>
      </c>
      <c r="K400" s="2" t="s">
        <v>17</v>
      </c>
      <c r="L400" s="4">
        <f t="shared" si="12"/>
        <v>18000</v>
      </c>
      <c r="M400" t="str">
        <f t="shared" si="13"/>
        <v>Counted</v>
      </c>
    </row>
    <row r="401" spans="1:13" x14ac:dyDescent="0.25">
      <c r="A401" s="2" t="s">
        <v>613</v>
      </c>
      <c r="B401" s="3">
        <v>46357</v>
      </c>
      <c r="C401" s="3" t="s">
        <v>851</v>
      </c>
      <c r="D401" s="2" t="s">
        <v>30</v>
      </c>
      <c r="E401" s="2" t="s">
        <v>589</v>
      </c>
      <c r="F401" s="2" t="s">
        <v>87</v>
      </c>
      <c r="G401" s="2" t="s">
        <v>46</v>
      </c>
      <c r="H401" s="2">
        <v>1</v>
      </c>
      <c r="I401" s="4">
        <v>1600</v>
      </c>
      <c r="J401" s="2" t="s">
        <v>27</v>
      </c>
      <c r="K401" s="2" t="s">
        <v>17</v>
      </c>
      <c r="L401" s="4">
        <f t="shared" si="12"/>
        <v>1600</v>
      </c>
      <c r="M401" t="str">
        <f t="shared" si="13"/>
        <v>Counted</v>
      </c>
    </row>
    <row r="402" spans="1:13" x14ac:dyDescent="0.25">
      <c r="A402" s="2" t="s">
        <v>614</v>
      </c>
      <c r="B402" s="3">
        <v>46358</v>
      </c>
      <c r="C402" s="3" t="s">
        <v>851</v>
      </c>
      <c r="D402" s="2" t="s">
        <v>30</v>
      </c>
      <c r="E402" s="2" t="s">
        <v>190</v>
      </c>
      <c r="F402" s="2" t="s">
        <v>49</v>
      </c>
      <c r="G402" s="2" t="s">
        <v>46</v>
      </c>
      <c r="H402" s="2">
        <v>1</v>
      </c>
      <c r="I402" s="4">
        <v>5000</v>
      </c>
      <c r="J402" s="2" t="s">
        <v>37</v>
      </c>
      <c r="K402" s="2" t="s">
        <v>17</v>
      </c>
      <c r="L402" s="4">
        <f t="shared" si="12"/>
        <v>5000</v>
      </c>
      <c r="M402" t="str">
        <f t="shared" si="13"/>
        <v>Counted</v>
      </c>
    </row>
    <row r="403" spans="1:13" x14ac:dyDescent="0.25">
      <c r="A403" s="2" t="s">
        <v>615</v>
      </c>
      <c r="B403" s="3">
        <v>46358</v>
      </c>
      <c r="C403" s="3" t="s">
        <v>851</v>
      </c>
      <c r="D403" s="2" t="s">
        <v>12</v>
      </c>
      <c r="E403" s="2" t="s">
        <v>479</v>
      </c>
      <c r="F403" s="2" t="s">
        <v>117</v>
      </c>
      <c r="G403" s="2" t="s">
        <v>46</v>
      </c>
      <c r="H403" s="2">
        <v>1</v>
      </c>
      <c r="I403" s="4">
        <v>2800</v>
      </c>
      <c r="J403" s="2" t="s">
        <v>37</v>
      </c>
      <c r="K403" s="2" t="s">
        <v>28</v>
      </c>
      <c r="L403" s="4">
        <f t="shared" si="12"/>
        <v>2800</v>
      </c>
      <c r="M403" t="str">
        <f t="shared" si="13"/>
        <v>Counted</v>
      </c>
    </row>
    <row r="404" spans="1:13" x14ac:dyDescent="0.25">
      <c r="A404" s="2" t="s">
        <v>616</v>
      </c>
      <c r="B404" s="3">
        <v>46358</v>
      </c>
      <c r="C404" s="3" t="s">
        <v>851</v>
      </c>
      <c r="D404" s="2" t="s">
        <v>30</v>
      </c>
      <c r="E404" s="2" t="s">
        <v>143</v>
      </c>
      <c r="F404" s="2" t="s">
        <v>21</v>
      </c>
      <c r="G404" s="2" t="s">
        <v>15</v>
      </c>
      <c r="H404" s="2">
        <v>2</v>
      </c>
      <c r="I404" s="4">
        <v>62000</v>
      </c>
      <c r="J404" s="2" t="s">
        <v>37</v>
      </c>
      <c r="K404" s="2" t="s">
        <v>17</v>
      </c>
      <c r="L404" s="4">
        <f t="shared" si="12"/>
        <v>124000</v>
      </c>
      <c r="M404" t="str">
        <f t="shared" si="13"/>
        <v>Counted</v>
      </c>
    </row>
    <row r="405" spans="1:13" x14ac:dyDescent="0.25">
      <c r="A405" s="2" t="s">
        <v>617</v>
      </c>
      <c r="B405" s="3">
        <v>46358</v>
      </c>
      <c r="C405" s="3" t="s">
        <v>851</v>
      </c>
      <c r="D405" s="2" t="s">
        <v>30</v>
      </c>
      <c r="E405" s="2" t="s">
        <v>366</v>
      </c>
      <c r="F405" s="2" t="s">
        <v>59</v>
      </c>
      <c r="G405" s="2" t="s">
        <v>53</v>
      </c>
      <c r="H405" s="2">
        <v>1</v>
      </c>
      <c r="I405" s="4">
        <v>3800</v>
      </c>
      <c r="J405" s="2" t="s">
        <v>37</v>
      </c>
      <c r="K405" s="2" t="s">
        <v>17</v>
      </c>
      <c r="L405" s="4">
        <f t="shared" si="12"/>
        <v>3800</v>
      </c>
      <c r="M405" t="str">
        <f t="shared" si="13"/>
        <v>Counted</v>
      </c>
    </row>
    <row r="406" spans="1:13" x14ac:dyDescent="0.25">
      <c r="A406" s="2" t="s">
        <v>618</v>
      </c>
      <c r="B406" s="3">
        <v>46358</v>
      </c>
      <c r="C406" s="3" t="s">
        <v>851</v>
      </c>
      <c r="D406" s="2" t="s">
        <v>24</v>
      </c>
      <c r="E406" s="2" t="s">
        <v>167</v>
      </c>
      <c r="F406" s="2" t="s">
        <v>32</v>
      </c>
      <c r="G406" s="2" t="s">
        <v>15</v>
      </c>
      <c r="H406" s="2">
        <v>1</v>
      </c>
      <c r="I406" s="4">
        <v>52000</v>
      </c>
      <c r="J406" s="2" t="s">
        <v>16</v>
      </c>
      <c r="K406" s="2" t="s">
        <v>17</v>
      </c>
      <c r="L406" s="4">
        <f t="shared" si="12"/>
        <v>52000</v>
      </c>
      <c r="M406" t="str">
        <f t="shared" si="13"/>
        <v>Counted</v>
      </c>
    </row>
    <row r="407" spans="1:13" x14ac:dyDescent="0.25">
      <c r="A407" s="2" t="s">
        <v>619</v>
      </c>
      <c r="B407" s="3">
        <v>46358</v>
      </c>
      <c r="C407" s="3" t="s">
        <v>851</v>
      </c>
      <c r="D407" s="2" t="s">
        <v>12</v>
      </c>
      <c r="E407" s="2" t="s">
        <v>620</v>
      </c>
      <c r="F407" s="2" t="s">
        <v>56</v>
      </c>
      <c r="G407" s="2" t="s">
        <v>46</v>
      </c>
      <c r="H407" s="2">
        <v>2</v>
      </c>
      <c r="I407" s="4">
        <v>7500</v>
      </c>
      <c r="J407" s="2" t="s">
        <v>16</v>
      </c>
      <c r="K407" s="2" t="s">
        <v>17</v>
      </c>
      <c r="L407" s="4">
        <f t="shared" si="12"/>
        <v>15000</v>
      </c>
      <c r="M407" t="str">
        <f t="shared" si="13"/>
        <v>Counted</v>
      </c>
    </row>
    <row r="408" spans="1:13" x14ac:dyDescent="0.25">
      <c r="A408" s="2" t="s">
        <v>621</v>
      </c>
      <c r="B408" s="3">
        <v>46358</v>
      </c>
      <c r="C408" s="3" t="s">
        <v>851</v>
      </c>
      <c r="D408" s="2" t="s">
        <v>19</v>
      </c>
      <c r="E408" s="2" t="s">
        <v>622</v>
      </c>
      <c r="F408" s="2" t="s">
        <v>152</v>
      </c>
      <c r="G408" s="2" t="s">
        <v>36</v>
      </c>
      <c r="H408" s="2">
        <v>1</v>
      </c>
      <c r="I408" s="4">
        <v>6500</v>
      </c>
      <c r="J408" s="2" t="s">
        <v>92</v>
      </c>
      <c r="K408" s="2" t="s">
        <v>42</v>
      </c>
      <c r="L408" s="4">
        <f t="shared" si="12"/>
        <v>6500</v>
      </c>
      <c r="M408" t="str">
        <f t="shared" si="13"/>
        <v>Not Counted</v>
      </c>
    </row>
    <row r="409" spans="1:13" x14ac:dyDescent="0.25">
      <c r="A409" s="2" t="s">
        <v>623</v>
      </c>
      <c r="B409" s="3">
        <v>46358</v>
      </c>
      <c r="C409" s="3" t="s">
        <v>851</v>
      </c>
      <c r="D409" s="2" t="s">
        <v>19</v>
      </c>
      <c r="E409" s="2" t="s">
        <v>188</v>
      </c>
      <c r="F409" s="2" t="s">
        <v>102</v>
      </c>
      <c r="G409" s="2" t="s">
        <v>53</v>
      </c>
      <c r="H409" s="2">
        <v>1</v>
      </c>
      <c r="I409" s="4">
        <v>12500</v>
      </c>
      <c r="J409" s="2" t="s">
        <v>92</v>
      </c>
      <c r="K409" s="2" t="s">
        <v>17</v>
      </c>
      <c r="L409" s="4">
        <f t="shared" si="12"/>
        <v>12500</v>
      </c>
      <c r="M409" t="str">
        <f t="shared" si="13"/>
        <v>Counted</v>
      </c>
    </row>
    <row r="410" spans="1:13" x14ac:dyDescent="0.25">
      <c r="A410" s="2" t="s">
        <v>624</v>
      </c>
      <c r="B410" s="3">
        <v>46358</v>
      </c>
      <c r="C410" s="3" t="s">
        <v>851</v>
      </c>
      <c r="D410" s="2" t="s">
        <v>19</v>
      </c>
      <c r="E410" s="2" t="s">
        <v>147</v>
      </c>
      <c r="F410" s="2" t="s">
        <v>95</v>
      </c>
      <c r="G410" s="2" t="s">
        <v>15</v>
      </c>
      <c r="H410" s="2">
        <v>1</v>
      </c>
      <c r="I410" s="4">
        <v>58000</v>
      </c>
      <c r="J410" s="2" t="s">
        <v>37</v>
      </c>
      <c r="K410" s="2" t="s">
        <v>42</v>
      </c>
      <c r="L410" s="4">
        <f t="shared" si="12"/>
        <v>58000</v>
      </c>
      <c r="M410" t="str">
        <f t="shared" si="13"/>
        <v>Not Counted</v>
      </c>
    </row>
    <row r="411" spans="1:13" x14ac:dyDescent="0.25">
      <c r="A411" s="2" t="s">
        <v>625</v>
      </c>
      <c r="B411" s="3">
        <v>46359</v>
      </c>
      <c r="C411" s="3" t="s">
        <v>851</v>
      </c>
      <c r="D411" s="2" t="s">
        <v>24</v>
      </c>
      <c r="E411" s="2" t="s">
        <v>97</v>
      </c>
      <c r="F411" s="2" t="s">
        <v>191</v>
      </c>
      <c r="G411" s="2" t="s">
        <v>41</v>
      </c>
      <c r="H411" s="2">
        <v>1</v>
      </c>
      <c r="I411" s="4">
        <v>1800</v>
      </c>
      <c r="J411" s="2" t="s">
        <v>16</v>
      </c>
      <c r="K411" s="2" t="s">
        <v>17</v>
      </c>
      <c r="L411" s="4">
        <f t="shared" si="12"/>
        <v>1800</v>
      </c>
      <c r="M411" t="str">
        <f t="shared" si="13"/>
        <v>Counted</v>
      </c>
    </row>
    <row r="412" spans="1:13" x14ac:dyDescent="0.25">
      <c r="A412" s="2" t="s">
        <v>626</v>
      </c>
      <c r="B412" s="3">
        <v>46359</v>
      </c>
      <c r="C412" s="3" t="s">
        <v>851</v>
      </c>
      <c r="D412" s="2" t="s">
        <v>12</v>
      </c>
      <c r="E412" s="2" t="s">
        <v>311</v>
      </c>
      <c r="F412" s="2" t="s">
        <v>191</v>
      </c>
      <c r="G412" s="2" t="s">
        <v>41</v>
      </c>
      <c r="H412" s="2">
        <v>2</v>
      </c>
      <c r="I412" s="4">
        <v>1800</v>
      </c>
      <c r="J412" s="2" t="s">
        <v>22</v>
      </c>
      <c r="K412" s="2" t="s">
        <v>28</v>
      </c>
      <c r="L412" s="4">
        <f t="shared" si="12"/>
        <v>3600</v>
      </c>
      <c r="M412" t="str">
        <f t="shared" si="13"/>
        <v>Counted</v>
      </c>
    </row>
    <row r="413" spans="1:13" x14ac:dyDescent="0.25">
      <c r="A413" s="2" t="s">
        <v>627</v>
      </c>
      <c r="B413" s="3">
        <v>46359</v>
      </c>
      <c r="C413" s="3" t="s">
        <v>851</v>
      </c>
      <c r="D413" s="2" t="s">
        <v>30</v>
      </c>
      <c r="E413" s="2" t="s">
        <v>178</v>
      </c>
      <c r="F413" s="2" t="s">
        <v>62</v>
      </c>
      <c r="G413" s="2" t="s">
        <v>41</v>
      </c>
      <c r="H413" s="2">
        <v>1</v>
      </c>
      <c r="I413" s="4">
        <v>2200</v>
      </c>
      <c r="J413" s="2" t="s">
        <v>16</v>
      </c>
      <c r="K413" s="2" t="s">
        <v>107</v>
      </c>
      <c r="L413" s="4">
        <f t="shared" si="12"/>
        <v>2200</v>
      </c>
      <c r="M413" t="str">
        <f t="shared" si="13"/>
        <v>Not Counted</v>
      </c>
    </row>
    <row r="414" spans="1:13" x14ac:dyDescent="0.25">
      <c r="A414" s="2" t="s">
        <v>628</v>
      </c>
      <c r="B414" s="3">
        <v>46359</v>
      </c>
      <c r="C414" s="3" t="s">
        <v>851</v>
      </c>
      <c r="D414" s="2" t="s">
        <v>30</v>
      </c>
      <c r="E414" s="2" t="s">
        <v>224</v>
      </c>
      <c r="F414" s="2" t="s">
        <v>68</v>
      </c>
      <c r="G414" s="2" t="s">
        <v>41</v>
      </c>
      <c r="H414" s="2">
        <v>1</v>
      </c>
      <c r="I414" s="4">
        <v>1500</v>
      </c>
      <c r="J414" s="2" t="s">
        <v>22</v>
      </c>
      <c r="K414" s="2" t="s">
        <v>42</v>
      </c>
      <c r="L414" s="4">
        <f t="shared" si="12"/>
        <v>1500</v>
      </c>
      <c r="M414" t="str">
        <f t="shared" si="13"/>
        <v>Not Counted</v>
      </c>
    </row>
    <row r="415" spans="1:13" x14ac:dyDescent="0.25">
      <c r="A415" s="2" t="s">
        <v>629</v>
      </c>
      <c r="B415" s="3">
        <v>46359</v>
      </c>
      <c r="C415" s="3" t="s">
        <v>851</v>
      </c>
      <c r="D415" s="2" t="s">
        <v>24</v>
      </c>
      <c r="E415" s="2" t="s">
        <v>99</v>
      </c>
      <c r="F415" s="2" t="s">
        <v>35</v>
      </c>
      <c r="G415" s="2" t="s">
        <v>36</v>
      </c>
      <c r="H415" s="2">
        <v>1</v>
      </c>
      <c r="I415" s="4">
        <v>12000</v>
      </c>
      <c r="J415" s="2" t="s">
        <v>22</v>
      </c>
      <c r="K415" s="2" t="s">
        <v>17</v>
      </c>
      <c r="L415" s="4">
        <f t="shared" si="12"/>
        <v>12000</v>
      </c>
      <c r="M415" t="str">
        <f t="shared" si="13"/>
        <v>Counted</v>
      </c>
    </row>
    <row r="416" spans="1:13" x14ac:dyDescent="0.25">
      <c r="A416" s="2" t="s">
        <v>630</v>
      </c>
      <c r="B416" s="3">
        <v>46360</v>
      </c>
      <c r="C416" s="3" t="s">
        <v>851</v>
      </c>
      <c r="D416" s="2" t="s">
        <v>19</v>
      </c>
      <c r="E416" s="2" t="s">
        <v>167</v>
      </c>
      <c r="F416" s="2" t="s">
        <v>56</v>
      </c>
      <c r="G416" s="2" t="s">
        <v>46</v>
      </c>
      <c r="H416" s="2">
        <v>1</v>
      </c>
      <c r="I416" s="4">
        <v>7500</v>
      </c>
      <c r="J416" s="2" t="s">
        <v>22</v>
      </c>
      <c r="K416" s="2" t="s">
        <v>28</v>
      </c>
      <c r="L416" s="4">
        <f t="shared" si="12"/>
        <v>7500</v>
      </c>
      <c r="M416" t="str">
        <f t="shared" si="13"/>
        <v>Counted</v>
      </c>
    </row>
    <row r="417" spans="1:13" x14ac:dyDescent="0.25">
      <c r="A417" s="2" t="s">
        <v>631</v>
      </c>
      <c r="B417" s="3">
        <v>46360</v>
      </c>
      <c r="C417" s="3" t="s">
        <v>851</v>
      </c>
      <c r="D417" s="2" t="s">
        <v>12</v>
      </c>
      <c r="E417" s="2" t="s">
        <v>406</v>
      </c>
      <c r="F417" s="2" t="s">
        <v>73</v>
      </c>
      <c r="G417" s="2" t="s">
        <v>15</v>
      </c>
      <c r="H417" s="2">
        <v>1</v>
      </c>
      <c r="I417" s="4">
        <v>18000</v>
      </c>
      <c r="J417" s="2" t="s">
        <v>22</v>
      </c>
      <c r="K417" s="2" t="s">
        <v>17</v>
      </c>
      <c r="L417" s="4">
        <f t="shared" si="12"/>
        <v>18000</v>
      </c>
      <c r="M417" t="str">
        <f t="shared" si="13"/>
        <v>Counted</v>
      </c>
    </row>
    <row r="418" spans="1:13" x14ac:dyDescent="0.25">
      <c r="A418" s="2" t="s">
        <v>632</v>
      </c>
      <c r="B418" s="3">
        <v>46360</v>
      </c>
      <c r="C418" s="3" t="s">
        <v>851</v>
      </c>
      <c r="D418" s="2" t="s">
        <v>30</v>
      </c>
      <c r="E418" s="2" t="s">
        <v>135</v>
      </c>
      <c r="F418" s="2" t="s">
        <v>95</v>
      </c>
      <c r="G418" s="2" t="s">
        <v>15</v>
      </c>
      <c r="H418" s="2">
        <v>1</v>
      </c>
      <c r="I418" s="4">
        <v>58000</v>
      </c>
      <c r="J418" s="2" t="s">
        <v>92</v>
      </c>
      <c r="K418" s="2" t="s">
        <v>17</v>
      </c>
      <c r="L418" s="4">
        <f t="shared" si="12"/>
        <v>58000</v>
      </c>
      <c r="M418" t="str">
        <f t="shared" si="13"/>
        <v>Counted</v>
      </c>
    </row>
    <row r="419" spans="1:13" x14ac:dyDescent="0.25">
      <c r="A419" s="2" t="s">
        <v>633</v>
      </c>
      <c r="B419" s="3">
        <v>46360</v>
      </c>
      <c r="C419" s="3" t="s">
        <v>851</v>
      </c>
      <c r="D419" s="2" t="s">
        <v>12</v>
      </c>
      <c r="E419" s="2" t="s">
        <v>174</v>
      </c>
      <c r="F419" s="2" t="s">
        <v>59</v>
      </c>
      <c r="G419" s="2" t="s">
        <v>53</v>
      </c>
      <c r="H419" s="2">
        <v>1</v>
      </c>
      <c r="I419" s="4">
        <v>3800</v>
      </c>
      <c r="J419" s="2" t="s">
        <v>92</v>
      </c>
      <c r="K419" s="2" t="s">
        <v>17</v>
      </c>
      <c r="L419" s="4">
        <f t="shared" si="12"/>
        <v>3800</v>
      </c>
      <c r="M419" t="str">
        <f t="shared" si="13"/>
        <v>Counted</v>
      </c>
    </row>
    <row r="420" spans="1:13" x14ac:dyDescent="0.25">
      <c r="A420" s="2" t="s">
        <v>634</v>
      </c>
      <c r="B420" s="3">
        <v>46360</v>
      </c>
      <c r="C420" s="3" t="s">
        <v>851</v>
      </c>
      <c r="D420" s="2" t="s">
        <v>12</v>
      </c>
      <c r="E420" s="2" t="s">
        <v>116</v>
      </c>
      <c r="F420" s="2" t="s">
        <v>73</v>
      </c>
      <c r="G420" s="2" t="s">
        <v>15</v>
      </c>
      <c r="H420" s="2">
        <v>1</v>
      </c>
      <c r="I420" s="4">
        <v>18000</v>
      </c>
      <c r="J420" s="2" t="s">
        <v>22</v>
      </c>
      <c r="K420" s="2" t="s">
        <v>42</v>
      </c>
      <c r="L420" s="4">
        <f t="shared" si="12"/>
        <v>18000</v>
      </c>
      <c r="M420" t="str">
        <f t="shared" si="13"/>
        <v>Not Counted</v>
      </c>
    </row>
    <row r="421" spans="1:13" x14ac:dyDescent="0.25">
      <c r="A421" s="2" t="s">
        <v>635</v>
      </c>
      <c r="B421" s="3">
        <v>46360</v>
      </c>
      <c r="C421" s="3" t="s">
        <v>851</v>
      </c>
      <c r="D421" s="2" t="s">
        <v>30</v>
      </c>
      <c r="E421" s="2" t="s">
        <v>269</v>
      </c>
      <c r="F421" s="2" t="s">
        <v>32</v>
      </c>
      <c r="G421" s="2" t="s">
        <v>15</v>
      </c>
      <c r="H421" s="2">
        <v>1</v>
      </c>
      <c r="I421" s="4">
        <v>52000</v>
      </c>
      <c r="J421" s="2" t="s">
        <v>37</v>
      </c>
      <c r="K421" s="2" t="s">
        <v>17</v>
      </c>
      <c r="L421" s="4">
        <f t="shared" si="12"/>
        <v>52000</v>
      </c>
      <c r="M421" t="str">
        <f t="shared" si="13"/>
        <v>Counted</v>
      </c>
    </row>
    <row r="422" spans="1:13" x14ac:dyDescent="0.25">
      <c r="A422" s="2" t="s">
        <v>636</v>
      </c>
      <c r="B422" s="3">
        <v>46361</v>
      </c>
      <c r="C422" s="3" t="s">
        <v>851</v>
      </c>
      <c r="D422" s="2" t="s">
        <v>30</v>
      </c>
      <c r="E422" s="2" t="s">
        <v>178</v>
      </c>
      <c r="F422" s="2" t="s">
        <v>45</v>
      </c>
      <c r="G422" s="2" t="s">
        <v>46</v>
      </c>
      <c r="H422" s="2">
        <v>1</v>
      </c>
      <c r="I422" s="4">
        <v>3500</v>
      </c>
      <c r="J422" s="2" t="s">
        <v>16</v>
      </c>
      <c r="K422" s="2" t="s">
        <v>17</v>
      </c>
      <c r="L422" s="4">
        <f t="shared" si="12"/>
        <v>3500</v>
      </c>
      <c r="M422" t="str">
        <f t="shared" si="13"/>
        <v>Counted</v>
      </c>
    </row>
    <row r="423" spans="1:13" x14ac:dyDescent="0.25">
      <c r="A423" s="2" t="s">
        <v>637</v>
      </c>
      <c r="B423" s="3">
        <v>46361</v>
      </c>
      <c r="C423" s="3" t="s">
        <v>851</v>
      </c>
      <c r="D423" s="2" t="s">
        <v>19</v>
      </c>
      <c r="E423" s="2" t="s">
        <v>280</v>
      </c>
      <c r="F423" s="2" t="s">
        <v>102</v>
      </c>
      <c r="G423" s="2" t="s">
        <v>53</v>
      </c>
      <c r="H423" s="2">
        <v>1</v>
      </c>
      <c r="I423" s="4">
        <v>12500</v>
      </c>
      <c r="J423" s="2" t="s">
        <v>92</v>
      </c>
      <c r="K423" s="2" t="s">
        <v>42</v>
      </c>
      <c r="L423" s="4">
        <f t="shared" si="12"/>
        <v>12500</v>
      </c>
      <c r="M423" t="str">
        <f t="shared" si="13"/>
        <v>Not Counted</v>
      </c>
    </row>
    <row r="424" spans="1:13" x14ac:dyDescent="0.25">
      <c r="A424" s="2" t="s">
        <v>638</v>
      </c>
      <c r="B424" s="3">
        <v>46362</v>
      </c>
      <c r="C424" s="3" t="s">
        <v>851</v>
      </c>
      <c r="D424" s="2" t="s">
        <v>30</v>
      </c>
      <c r="E424" s="2" t="s">
        <v>385</v>
      </c>
      <c r="F424" s="2" t="s">
        <v>95</v>
      </c>
      <c r="G424" s="2" t="s">
        <v>15</v>
      </c>
      <c r="H424" s="2">
        <v>2</v>
      </c>
      <c r="I424" s="4">
        <v>58000</v>
      </c>
      <c r="J424" s="2" t="s">
        <v>22</v>
      </c>
      <c r="K424" s="2" t="s">
        <v>28</v>
      </c>
      <c r="L424" s="4">
        <f t="shared" si="12"/>
        <v>116000</v>
      </c>
      <c r="M424" t="str">
        <f t="shared" si="13"/>
        <v>Counted</v>
      </c>
    </row>
    <row r="425" spans="1:13" x14ac:dyDescent="0.25">
      <c r="A425" s="2" t="s">
        <v>639</v>
      </c>
      <c r="B425" s="3">
        <v>46362</v>
      </c>
      <c r="C425" s="3" t="s">
        <v>851</v>
      </c>
      <c r="D425" s="2" t="s">
        <v>24</v>
      </c>
      <c r="E425" s="2" t="s">
        <v>75</v>
      </c>
      <c r="F425" s="2" t="s">
        <v>152</v>
      </c>
      <c r="G425" s="2" t="s">
        <v>36</v>
      </c>
      <c r="H425" s="2">
        <v>3</v>
      </c>
      <c r="I425" s="4">
        <v>6500</v>
      </c>
      <c r="J425" s="2" t="s">
        <v>22</v>
      </c>
      <c r="K425" s="2" t="s">
        <v>17</v>
      </c>
      <c r="L425" s="4">
        <f t="shared" si="12"/>
        <v>19500</v>
      </c>
      <c r="M425" t="str">
        <f t="shared" si="13"/>
        <v>Counted</v>
      </c>
    </row>
    <row r="426" spans="1:13" x14ac:dyDescent="0.25">
      <c r="A426" s="2" t="s">
        <v>640</v>
      </c>
      <c r="B426" s="3">
        <v>46362</v>
      </c>
      <c r="C426" s="3" t="s">
        <v>851</v>
      </c>
      <c r="D426" s="2" t="s">
        <v>24</v>
      </c>
      <c r="E426" s="2" t="s">
        <v>55</v>
      </c>
      <c r="F426" s="2" t="s">
        <v>73</v>
      </c>
      <c r="G426" s="2" t="s">
        <v>15</v>
      </c>
      <c r="H426" s="2">
        <v>1</v>
      </c>
      <c r="I426" s="4">
        <v>18000</v>
      </c>
      <c r="J426" s="2" t="s">
        <v>37</v>
      </c>
      <c r="K426" s="2" t="s">
        <v>17</v>
      </c>
      <c r="L426" s="4">
        <f t="shared" si="12"/>
        <v>18000</v>
      </c>
      <c r="M426" t="str">
        <f t="shared" si="13"/>
        <v>Counted</v>
      </c>
    </row>
    <row r="427" spans="1:13" x14ac:dyDescent="0.25">
      <c r="A427" s="2" t="s">
        <v>641</v>
      </c>
      <c r="B427" s="3">
        <v>46362</v>
      </c>
      <c r="C427" s="3" t="s">
        <v>851</v>
      </c>
      <c r="D427" s="2" t="s">
        <v>30</v>
      </c>
      <c r="E427" s="2" t="s">
        <v>135</v>
      </c>
      <c r="F427" s="2" t="s">
        <v>52</v>
      </c>
      <c r="G427" s="2" t="s">
        <v>53</v>
      </c>
      <c r="H427" s="2">
        <v>2</v>
      </c>
      <c r="I427" s="4">
        <v>8500</v>
      </c>
      <c r="J427" s="2" t="s">
        <v>92</v>
      </c>
      <c r="K427" s="2" t="s">
        <v>17</v>
      </c>
      <c r="L427" s="4">
        <f t="shared" si="12"/>
        <v>17000</v>
      </c>
      <c r="M427" t="str">
        <f t="shared" si="13"/>
        <v>Counted</v>
      </c>
    </row>
    <row r="428" spans="1:13" x14ac:dyDescent="0.25">
      <c r="A428" s="2" t="s">
        <v>642</v>
      </c>
      <c r="B428" s="3">
        <v>46362</v>
      </c>
      <c r="C428" s="3" t="s">
        <v>851</v>
      </c>
      <c r="D428" s="2" t="s">
        <v>12</v>
      </c>
      <c r="E428" s="2" t="s">
        <v>508</v>
      </c>
      <c r="F428" s="2" t="s">
        <v>40</v>
      </c>
      <c r="G428" s="2" t="s">
        <v>41</v>
      </c>
      <c r="H428" s="2">
        <v>1</v>
      </c>
      <c r="I428" s="4">
        <v>2400</v>
      </c>
      <c r="J428" s="2" t="s">
        <v>16</v>
      </c>
      <c r="K428" s="2" t="s">
        <v>17</v>
      </c>
      <c r="L428" s="4">
        <f t="shared" si="12"/>
        <v>2400</v>
      </c>
      <c r="M428" t="str">
        <f t="shared" si="13"/>
        <v>Counted</v>
      </c>
    </row>
    <row r="429" spans="1:13" x14ac:dyDescent="0.25">
      <c r="A429" s="2" t="s">
        <v>643</v>
      </c>
      <c r="B429" s="3">
        <v>46362</v>
      </c>
      <c r="C429" s="3" t="s">
        <v>851</v>
      </c>
      <c r="D429" s="2" t="s">
        <v>12</v>
      </c>
      <c r="E429" s="2" t="s">
        <v>253</v>
      </c>
      <c r="F429" s="2" t="s">
        <v>191</v>
      </c>
      <c r="G429" s="2" t="s">
        <v>41</v>
      </c>
      <c r="H429" s="2">
        <v>1</v>
      </c>
      <c r="I429" s="4">
        <v>1800</v>
      </c>
      <c r="J429" s="2" t="s">
        <v>37</v>
      </c>
      <c r="K429" s="2" t="s">
        <v>17</v>
      </c>
      <c r="L429" s="4">
        <f t="shared" si="12"/>
        <v>1800</v>
      </c>
      <c r="M429" t="str">
        <f t="shared" si="13"/>
        <v>Counted</v>
      </c>
    </row>
    <row r="430" spans="1:13" x14ac:dyDescent="0.25">
      <c r="A430" s="2" t="s">
        <v>644</v>
      </c>
      <c r="B430" s="3">
        <v>46363</v>
      </c>
      <c r="C430" s="3" t="s">
        <v>851</v>
      </c>
      <c r="D430" s="2" t="s">
        <v>30</v>
      </c>
      <c r="E430" s="2" t="s">
        <v>79</v>
      </c>
      <c r="F430" s="2" t="s">
        <v>152</v>
      </c>
      <c r="G430" s="2" t="s">
        <v>36</v>
      </c>
      <c r="H430" s="2">
        <v>3</v>
      </c>
      <c r="I430" s="4">
        <v>6500</v>
      </c>
      <c r="J430" s="2" t="s">
        <v>37</v>
      </c>
      <c r="K430" s="2" t="s">
        <v>17</v>
      </c>
      <c r="L430" s="4">
        <f t="shared" si="12"/>
        <v>19500</v>
      </c>
      <c r="M430" t="str">
        <f t="shared" si="13"/>
        <v>Counted</v>
      </c>
    </row>
    <row r="431" spans="1:13" x14ac:dyDescent="0.25">
      <c r="A431" s="2" t="s">
        <v>645</v>
      </c>
      <c r="B431" s="3">
        <v>46363</v>
      </c>
      <c r="C431" s="3" t="s">
        <v>851</v>
      </c>
      <c r="D431" s="2" t="s">
        <v>30</v>
      </c>
      <c r="E431" s="2" t="s">
        <v>184</v>
      </c>
      <c r="F431" s="2" t="s">
        <v>152</v>
      </c>
      <c r="G431" s="2" t="s">
        <v>36</v>
      </c>
      <c r="H431" s="2">
        <v>1</v>
      </c>
      <c r="I431" s="4">
        <v>6500</v>
      </c>
      <c r="J431" s="2" t="s">
        <v>16</v>
      </c>
      <c r="K431" s="2" t="s">
        <v>107</v>
      </c>
      <c r="L431" s="4">
        <f t="shared" si="12"/>
        <v>6500</v>
      </c>
      <c r="M431" t="str">
        <f t="shared" si="13"/>
        <v>Not Counted</v>
      </c>
    </row>
    <row r="432" spans="1:13" x14ac:dyDescent="0.25">
      <c r="A432" s="2" t="s">
        <v>646</v>
      </c>
      <c r="B432" s="3">
        <v>46363</v>
      </c>
      <c r="C432" s="3" t="s">
        <v>851</v>
      </c>
      <c r="D432" s="2" t="s">
        <v>12</v>
      </c>
      <c r="E432" s="2" t="s">
        <v>31</v>
      </c>
      <c r="F432" s="2" t="s">
        <v>95</v>
      </c>
      <c r="G432" s="2" t="s">
        <v>15</v>
      </c>
      <c r="H432" s="2">
        <v>1</v>
      </c>
      <c r="I432" s="4">
        <v>58000</v>
      </c>
      <c r="J432" s="2" t="s">
        <v>22</v>
      </c>
      <c r="K432" s="2" t="s">
        <v>17</v>
      </c>
      <c r="L432" s="4">
        <f t="shared" si="12"/>
        <v>58000</v>
      </c>
      <c r="M432" t="str">
        <f t="shared" si="13"/>
        <v>Counted</v>
      </c>
    </row>
    <row r="433" spans="1:13" x14ac:dyDescent="0.25">
      <c r="A433" s="2" t="s">
        <v>647</v>
      </c>
      <c r="B433" s="3">
        <v>46364</v>
      </c>
      <c r="C433" s="3" t="s">
        <v>851</v>
      </c>
      <c r="D433" s="2" t="s">
        <v>19</v>
      </c>
      <c r="E433" s="2" t="s">
        <v>121</v>
      </c>
      <c r="F433" s="2" t="s">
        <v>21</v>
      </c>
      <c r="G433" s="2" t="s">
        <v>15</v>
      </c>
      <c r="H433" s="2">
        <v>2</v>
      </c>
      <c r="I433" s="4">
        <v>62000</v>
      </c>
      <c r="J433" s="2" t="s">
        <v>22</v>
      </c>
      <c r="K433" s="2" t="s">
        <v>28</v>
      </c>
      <c r="L433" s="4">
        <f t="shared" si="12"/>
        <v>124000</v>
      </c>
      <c r="M433" t="str">
        <f t="shared" si="13"/>
        <v>Counted</v>
      </c>
    </row>
    <row r="434" spans="1:13" x14ac:dyDescent="0.25">
      <c r="A434" s="2" t="s">
        <v>648</v>
      </c>
      <c r="B434" s="3">
        <v>46364</v>
      </c>
      <c r="C434" s="3" t="s">
        <v>851</v>
      </c>
      <c r="D434" s="2" t="s">
        <v>19</v>
      </c>
      <c r="E434" s="2" t="s">
        <v>359</v>
      </c>
      <c r="F434" s="2" t="s">
        <v>84</v>
      </c>
      <c r="G434" s="2" t="s">
        <v>53</v>
      </c>
      <c r="H434" s="2">
        <v>1</v>
      </c>
      <c r="I434" s="4">
        <v>22000</v>
      </c>
      <c r="J434" s="2" t="s">
        <v>92</v>
      </c>
      <c r="K434" s="2" t="s">
        <v>17</v>
      </c>
      <c r="L434" s="4">
        <f t="shared" si="12"/>
        <v>22000</v>
      </c>
      <c r="M434" t="str">
        <f t="shared" si="13"/>
        <v>Counted</v>
      </c>
    </row>
    <row r="435" spans="1:13" x14ac:dyDescent="0.25">
      <c r="A435" s="2" t="s">
        <v>649</v>
      </c>
      <c r="B435" s="3">
        <v>46364</v>
      </c>
      <c r="C435" s="3" t="s">
        <v>851</v>
      </c>
      <c r="D435" s="2" t="s">
        <v>24</v>
      </c>
      <c r="E435" s="2" t="s">
        <v>421</v>
      </c>
      <c r="F435" s="2" t="s">
        <v>32</v>
      </c>
      <c r="G435" s="2" t="s">
        <v>15</v>
      </c>
      <c r="H435" s="2">
        <v>1</v>
      </c>
      <c r="I435" s="4">
        <v>52000</v>
      </c>
      <c r="J435" s="2" t="s">
        <v>16</v>
      </c>
      <c r="K435" s="2" t="s">
        <v>17</v>
      </c>
      <c r="L435" s="4">
        <f t="shared" si="12"/>
        <v>52000</v>
      </c>
      <c r="M435" t="str">
        <f t="shared" si="13"/>
        <v>Counted</v>
      </c>
    </row>
    <row r="436" spans="1:13" x14ac:dyDescent="0.25">
      <c r="A436" s="2" t="s">
        <v>650</v>
      </c>
      <c r="B436" s="3">
        <v>46364</v>
      </c>
      <c r="C436" s="3" t="s">
        <v>851</v>
      </c>
      <c r="D436" s="2" t="s">
        <v>19</v>
      </c>
      <c r="E436" s="2" t="s">
        <v>651</v>
      </c>
      <c r="F436" s="2" t="s">
        <v>32</v>
      </c>
      <c r="G436" s="2" t="s">
        <v>15</v>
      </c>
      <c r="H436" s="2">
        <v>1</v>
      </c>
      <c r="I436" s="4">
        <v>52000</v>
      </c>
      <c r="J436" s="2" t="s">
        <v>92</v>
      </c>
      <c r="K436" s="2" t="s">
        <v>42</v>
      </c>
      <c r="L436" s="4">
        <f t="shared" si="12"/>
        <v>52000</v>
      </c>
      <c r="M436" t="str">
        <f t="shared" si="13"/>
        <v>Not Counted</v>
      </c>
    </row>
    <row r="437" spans="1:13" x14ac:dyDescent="0.25">
      <c r="A437" s="2" t="s">
        <v>652</v>
      </c>
      <c r="B437" s="3">
        <v>46364</v>
      </c>
      <c r="C437" s="3" t="s">
        <v>851</v>
      </c>
      <c r="D437" s="2" t="s">
        <v>24</v>
      </c>
      <c r="E437" s="2" t="s">
        <v>653</v>
      </c>
      <c r="F437" s="2" t="s">
        <v>52</v>
      </c>
      <c r="G437" s="2" t="s">
        <v>53</v>
      </c>
      <c r="H437" s="2">
        <v>1</v>
      </c>
      <c r="I437" s="4">
        <v>8500</v>
      </c>
      <c r="J437" s="2" t="s">
        <v>16</v>
      </c>
      <c r="K437" s="2" t="s">
        <v>107</v>
      </c>
      <c r="L437" s="4">
        <f t="shared" si="12"/>
        <v>8500</v>
      </c>
      <c r="M437" t="str">
        <f t="shared" si="13"/>
        <v>Not Counted</v>
      </c>
    </row>
    <row r="438" spans="1:13" x14ac:dyDescent="0.25">
      <c r="A438" s="2" t="s">
        <v>654</v>
      </c>
      <c r="B438" s="3">
        <v>46364</v>
      </c>
      <c r="C438" s="3" t="s">
        <v>851</v>
      </c>
      <c r="D438" s="2" t="s">
        <v>12</v>
      </c>
      <c r="E438" s="2" t="s">
        <v>230</v>
      </c>
      <c r="F438" s="2" t="s">
        <v>73</v>
      </c>
      <c r="G438" s="2" t="s">
        <v>15</v>
      </c>
      <c r="H438" s="2">
        <v>1</v>
      </c>
      <c r="I438" s="4">
        <v>18000</v>
      </c>
      <c r="J438" s="2" t="s">
        <v>22</v>
      </c>
      <c r="K438" s="2" t="s">
        <v>17</v>
      </c>
      <c r="L438" s="4">
        <f t="shared" si="12"/>
        <v>18000</v>
      </c>
      <c r="M438" t="str">
        <f t="shared" si="13"/>
        <v>Counted</v>
      </c>
    </row>
    <row r="439" spans="1:13" x14ac:dyDescent="0.25">
      <c r="A439" s="2" t="s">
        <v>655</v>
      </c>
      <c r="B439" s="3">
        <v>46364</v>
      </c>
      <c r="C439" s="3" t="s">
        <v>851</v>
      </c>
      <c r="D439" s="2" t="s">
        <v>30</v>
      </c>
      <c r="E439" s="2" t="s">
        <v>161</v>
      </c>
      <c r="F439" s="2" t="s">
        <v>21</v>
      </c>
      <c r="G439" s="2" t="s">
        <v>15</v>
      </c>
      <c r="H439" s="2">
        <v>1</v>
      </c>
      <c r="I439" s="4">
        <v>62000</v>
      </c>
      <c r="J439" s="2" t="s">
        <v>22</v>
      </c>
      <c r="K439" s="2" t="s">
        <v>17</v>
      </c>
      <c r="L439" s="4">
        <f t="shared" si="12"/>
        <v>62000</v>
      </c>
      <c r="M439" t="str">
        <f t="shared" si="13"/>
        <v>Counted</v>
      </c>
    </row>
    <row r="440" spans="1:13" x14ac:dyDescent="0.25">
      <c r="A440" s="2" t="s">
        <v>656</v>
      </c>
      <c r="B440" s="3">
        <v>46364</v>
      </c>
      <c r="C440" s="3" t="s">
        <v>851</v>
      </c>
      <c r="D440" s="2" t="s">
        <v>24</v>
      </c>
      <c r="E440" s="2" t="s">
        <v>657</v>
      </c>
      <c r="F440" s="2" t="s">
        <v>14</v>
      </c>
      <c r="G440" s="2" t="s">
        <v>15</v>
      </c>
      <c r="H440" s="2">
        <v>1</v>
      </c>
      <c r="I440" s="4">
        <v>65000</v>
      </c>
      <c r="J440" s="2" t="s">
        <v>16</v>
      </c>
      <c r="K440" s="2" t="s">
        <v>42</v>
      </c>
      <c r="L440" s="4">
        <f t="shared" si="12"/>
        <v>65000</v>
      </c>
      <c r="M440" t="str">
        <f t="shared" si="13"/>
        <v>Not Counted</v>
      </c>
    </row>
    <row r="441" spans="1:13" x14ac:dyDescent="0.25">
      <c r="A441" s="2" t="s">
        <v>658</v>
      </c>
      <c r="B441" s="3">
        <v>46365</v>
      </c>
      <c r="C441" s="3" t="s">
        <v>851</v>
      </c>
      <c r="D441" s="2" t="s">
        <v>30</v>
      </c>
      <c r="E441" s="2" t="s">
        <v>251</v>
      </c>
      <c r="F441" s="2" t="s">
        <v>35</v>
      </c>
      <c r="G441" s="2" t="s">
        <v>36</v>
      </c>
      <c r="H441" s="2">
        <v>1</v>
      </c>
      <c r="I441" s="4">
        <v>12000</v>
      </c>
      <c r="J441" s="2" t="s">
        <v>27</v>
      </c>
      <c r="K441" s="2" t="s">
        <v>17</v>
      </c>
      <c r="L441" s="4">
        <f t="shared" si="12"/>
        <v>12000</v>
      </c>
      <c r="M441" t="str">
        <f t="shared" si="13"/>
        <v>Counted</v>
      </c>
    </row>
    <row r="442" spans="1:13" x14ac:dyDescent="0.25">
      <c r="A442" s="2" t="s">
        <v>659</v>
      </c>
      <c r="B442" s="3">
        <v>46365</v>
      </c>
      <c r="C442" s="3" t="s">
        <v>851</v>
      </c>
      <c r="D442" s="2" t="s">
        <v>12</v>
      </c>
      <c r="E442" s="2" t="s">
        <v>341</v>
      </c>
      <c r="F442" s="2" t="s">
        <v>26</v>
      </c>
      <c r="G442" s="2" t="s">
        <v>15</v>
      </c>
      <c r="H442" s="2">
        <v>1</v>
      </c>
      <c r="I442" s="4">
        <v>24000</v>
      </c>
      <c r="J442" s="2" t="s">
        <v>27</v>
      </c>
      <c r="K442" s="2" t="s">
        <v>17</v>
      </c>
      <c r="L442" s="4">
        <f t="shared" si="12"/>
        <v>24000</v>
      </c>
      <c r="M442" t="str">
        <f t="shared" si="13"/>
        <v>Counted</v>
      </c>
    </row>
    <row r="443" spans="1:13" x14ac:dyDescent="0.25">
      <c r="A443" s="2" t="s">
        <v>660</v>
      </c>
      <c r="B443" s="3">
        <v>46365</v>
      </c>
      <c r="C443" s="3" t="s">
        <v>851</v>
      </c>
      <c r="D443" s="2" t="s">
        <v>12</v>
      </c>
      <c r="E443" s="2" t="s">
        <v>236</v>
      </c>
      <c r="F443" s="2" t="s">
        <v>95</v>
      </c>
      <c r="G443" s="2" t="s">
        <v>15</v>
      </c>
      <c r="H443" s="2">
        <v>1</v>
      </c>
      <c r="I443" s="4">
        <v>58000</v>
      </c>
      <c r="J443" s="2" t="s">
        <v>16</v>
      </c>
      <c r="K443" s="2" t="s">
        <v>17</v>
      </c>
      <c r="L443" s="4">
        <f t="shared" si="12"/>
        <v>58000</v>
      </c>
      <c r="M443" t="str">
        <f t="shared" si="13"/>
        <v>Counted</v>
      </c>
    </row>
    <row r="444" spans="1:13" x14ac:dyDescent="0.25">
      <c r="A444" s="2" t="s">
        <v>661</v>
      </c>
      <c r="B444" s="3">
        <v>46365</v>
      </c>
      <c r="C444" s="3" t="s">
        <v>851</v>
      </c>
      <c r="D444" s="2" t="s">
        <v>30</v>
      </c>
      <c r="E444" s="2" t="s">
        <v>304</v>
      </c>
      <c r="F444" s="2" t="s">
        <v>191</v>
      </c>
      <c r="G444" s="2" t="s">
        <v>41</v>
      </c>
      <c r="H444" s="2">
        <v>2</v>
      </c>
      <c r="I444" s="4">
        <v>1800</v>
      </c>
      <c r="J444" s="2" t="s">
        <v>22</v>
      </c>
      <c r="K444" s="2" t="s">
        <v>28</v>
      </c>
      <c r="L444" s="4">
        <f t="shared" si="12"/>
        <v>3600</v>
      </c>
      <c r="M444" t="str">
        <f t="shared" si="13"/>
        <v>Counted</v>
      </c>
    </row>
    <row r="445" spans="1:13" x14ac:dyDescent="0.25">
      <c r="A445" s="2" t="s">
        <v>662</v>
      </c>
      <c r="B445" s="3">
        <v>46365</v>
      </c>
      <c r="C445" s="3" t="s">
        <v>851</v>
      </c>
      <c r="D445" s="2" t="s">
        <v>12</v>
      </c>
      <c r="E445" s="2" t="s">
        <v>663</v>
      </c>
      <c r="F445" s="2" t="s">
        <v>117</v>
      </c>
      <c r="G445" s="2" t="s">
        <v>46</v>
      </c>
      <c r="H445" s="2">
        <v>1</v>
      </c>
      <c r="I445" s="4">
        <v>2800</v>
      </c>
      <c r="J445" s="2" t="s">
        <v>27</v>
      </c>
      <c r="K445" s="2" t="s">
        <v>17</v>
      </c>
      <c r="L445" s="4">
        <f t="shared" si="12"/>
        <v>2800</v>
      </c>
      <c r="M445" t="str">
        <f t="shared" si="13"/>
        <v>Counted</v>
      </c>
    </row>
    <row r="446" spans="1:13" x14ac:dyDescent="0.25">
      <c r="A446" s="2" t="s">
        <v>664</v>
      </c>
      <c r="B446" s="3">
        <v>46365</v>
      </c>
      <c r="C446" s="3" t="s">
        <v>851</v>
      </c>
      <c r="D446" s="2" t="s">
        <v>19</v>
      </c>
      <c r="E446" s="2" t="s">
        <v>398</v>
      </c>
      <c r="F446" s="2" t="s">
        <v>14</v>
      </c>
      <c r="G446" s="2" t="s">
        <v>15</v>
      </c>
      <c r="H446" s="2">
        <v>1</v>
      </c>
      <c r="I446" s="4">
        <v>65000</v>
      </c>
      <c r="J446" s="2" t="s">
        <v>16</v>
      </c>
      <c r="K446" s="2" t="s">
        <v>17</v>
      </c>
      <c r="L446" s="4">
        <f t="shared" si="12"/>
        <v>65000</v>
      </c>
      <c r="M446" t="str">
        <f t="shared" si="13"/>
        <v>Counted</v>
      </c>
    </row>
    <row r="447" spans="1:13" x14ac:dyDescent="0.25">
      <c r="A447" s="2" t="s">
        <v>665</v>
      </c>
      <c r="B447" s="3">
        <v>46365</v>
      </c>
      <c r="C447" s="3" t="s">
        <v>851</v>
      </c>
      <c r="D447" s="2" t="s">
        <v>19</v>
      </c>
      <c r="E447" s="2" t="s">
        <v>101</v>
      </c>
      <c r="F447" s="2" t="s">
        <v>21</v>
      </c>
      <c r="G447" s="2" t="s">
        <v>15</v>
      </c>
      <c r="H447" s="2">
        <v>1</v>
      </c>
      <c r="I447" s="4">
        <v>62000</v>
      </c>
      <c r="J447" s="2" t="s">
        <v>22</v>
      </c>
      <c r="K447" s="2" t="s">
        <v>17</v>
      </c>
      <c r="L447" s="4">
        <f t="shared" si="12"/>
        <v>62000</v>
      </c>
      <c r="M447" t="str">
        <f t="shared" si="13"/>
        <v>Counted</v>
      </c>
    </row>
    <row r="448" spans="1:13" x14ac:dyDescent="0.25">
      <c r="A448" s="2" t="s">
        <v>666</v>
      </c>
      <c r="B448" s="3">
        <v>46366</v>
      </c>
      <c r="C448" s="3" t="s">
        <v>851</v>
      </c>
      <c r="D448" s="2" t="s">
        <v>12</v>
      </c>
      <c r="E448" s="2" t="s">
        <v>463</v>
      </c>
      <c r="F448" s="2" t="s">
        <v>102</v>
      </c>
      <c r="G448" s="2" t="s">
        <v>53</v>
      </c>
      <c r="H448" s="2">
        <v>1</v>
      </c>
      <c r="I448" s="4">
        <v>12500</v>
      </c>
      <c r="J448" s="2" t="s">
        <v>16</v>
      </c>
      <c r="K448" s="2" t="s">
        <v>17</v>
      </c>
      <c r="L448" s="4">
        <f t="shared" si="12"/>
        <v>12500</v>
      </c>
      <c r="M448" t="str">
        <f t="shared" si="13"/>
        <v>Counted</v>
      </c>
    </row>
    <row r="449" spans="1:13" x14ac:dyDescent="0.25">
      <c r="A449" s="2" t="s">
        <v>667</v>
      </c>
      <c r="B449" s="3">
        <v>46366</v>
      </c>
      <c r="C449" s="3" t="s">
        <v>851</v>
      </c>
      <c r="D449" s="2" t="s">
        <v>12</v>
      </c>
      <c r="E449" s="2" t="s">
        <v>431</v>
      </c>
      <c r="F449" s="2" t="s">
        <v>21</v>
      </c>
      <c r="G449" s="2" t="s">
        <v>15</v>
      </c>
      <c r="H449" s="2">
        <v>1</v>
      </c>
      <c r="I449" s="4">
        <v>62000</v>
      </c>
      <c r="J449" s="2" t="s">
        <v>22</v>
      </c>
      <c r="K449" s="2" t="s">
        <v>17</v>
      </c>
      <c r="L449" s="4">
        <f t="shared" si="12"/>
        <v>62000</v>
      </c>
      <c r="M449" t="str">
        <f t="shared" si="13"/>
        <v>Counted</v>
      </c>
    </row>
    <row r="450" spans="1:13" x14ac:dyDescent="0.25">
      <c r="A450" s="2" t="s">
        <v>668</v>
      </c>
      <c r="B450" s="3">
        <v>46366</v>
      </c>
      <c r="C450" s="3" t="s">
        <v>851</v>
      </c>
      <c r="D450" s="2" t="s">
        <v>24</v>
      </c>
      <c r="E450" s="2" t="s">
        <v>622</v>
      </c>
      <c r="F450" s="2" t="s">
        <v>114</v>
      </c>
      <c r="G450" s="2" t="s">
        <v>36</v>
      </c>
      <c r="H450" s="2">
        <v>2</v>
      </c>
      <c r="I450" s="4">
        <v>9500</v>
      </c>
      <c r="J450" s="2" t="s">
        <v>22</v>
      </c>
      <c r="K450" s="2" t="s">
        <v>17</v>
      </c>
      <c r="L450" s="4">
        <f t="shared" ref="L450:L513" si="14">H450*I450</f>
        <v>19000</v>
      </c>
      <c r="M450" t="str">
        <f t="shared" si="13"/>
        <v>Counted</v>
      </c>
    </row>
    <row r="451" spans="1:13" x14ac:dyDescent="0.25">
      <c r="A451" s="2" t="s">
        <v>669</v>
      </c>
      <c r="B451" s="3">
        <v>46367</v>
      </c>
      <c r="C451" s="3" t="s">
        <v>851</v>
      </c>
      <c r="D451" s="2" t="s">
        <v>24</v>
      </c>
      <c r="E451" s="2" t="s">
        <v>670</v>
      </c>
      <c r="F451" s="2" t="s">
        <v>152</v>
      </c>
      <c r="G451" s="2" t="s">
        <v>36</v>
      </c>
      <c r="H451" s="2">
        <v>1</v>
      </c>
      <c r="I451" s="4">
        <v>6500</v>
      </c>
      <c r="J451" s="2" t="s">
        <v>92</v>
      </c>
      <c r="K451" s="2" t="s">
        <v>17</v>
      </c>
      <c r="L451" s="4">
        <f t="shared" si="14"/>
        <v>6500</v>
      </c>
      <c r="M451" t="str">
        <f t="shared" ref="M451:M514" si="15">IF(OR(K451="Cancelled",K451="Returned"),"Not Counted","Counted")</f>
        <v>Counted</v>
      </c>
    </row>
    <row r="452" spans="1:13" x14ac:dyDescent="0.25">
      <c r="A452" s="2" t="s">
        <v>671</v>
      </c>
      <c r="B452" s="3">
        <v>46367</v>
      </c>
      <c r="C452" s="3" t="s">
        <v>851</v>
      </c>
      <c r="D452" s="2" t="s">
        <v>30</v>
      </c>
      <c r="E452" s="2" t="s">
        <v>672</v>
      </c>
      <c r="F452" s="2" t="s">
        <v>117</v>
      </c>
      <c r="G452" s="2" t="s">
        <v>46</v>
      </c>
      <c r="H452" s="2">
        <v>3</v>
      </c>
      <c r="I452" s="4">
        <v>2800</v>
      </c>
      <c r="J452" s="2" t="s">
        <v>37</v>
      </c>
      <c r="K452" s="2" t="s">
        <v>28</v>
      </c>
      <c r="L452" s="4">
        <f t="shared" si="14"/>
        <v>8400</v>
      </c>
      <c r="M452" t="str">
        <f t="shared" si="15"/>
        <v>Counted</v>
      </c>
    </row>
    <row r="453" spans="1:13" x14ac:dyDescent="0.25">
      <c r="A453" s="2" t="s">
        <v>673</v>
      </c>
      <c r="B453" s="3">
        <v>46367</v>
      </c>
      <c r="C453" s="3" t="s">
        <v>851</v>
      </c>
      <c r="D453" s="2" t="s">
        <v>19</v>
      </c>
      <c r="E453" s="2" t="s">
        <v>44</v>
      </c>
      <c r="F453" s="2" t="s">
        <v>73</v>
      </c>
      <c r="G453" s="2" t="s">
        <v>15</v>
      </c>
      <c r="H453" s="2">
        <v>1</v>
      </c>
      <c r="I453" s="4">
        <v>18000</v>
      </c>
      <c r="J453" s="2" t="s">
        <v>22</v>
      </c>
      <c r="K453" s="2" t="s">
        <v>17</v>
      </c>
      <c r="L453" s="4">
        <f t="shared" si="14"/>
        <v>18000</v>
      </c>
      <c r="M453" t="str">
        <f t="shared" si="15"/>
        <v>Counted</v>
      </c>
    </row>
    <row r="454" spans="1:13" x14ac:dyDescent="0.25">
      <c r="A454" s="2" t="s">
        <v>674</v>
      </c>
      <c r="B454" s="3">
        <v>46367</v>
      </c>
      <c r="C454" s="3" t="s">
        <v>851</v>
      </c>
      <c r="D454" s="2" t="s">
        <v>24</v>
      </c>
      <c r="E454" s="2" t="s">
        <v>13</v>
      </c>
      <c r="F454" s="2" t="s">
        <v>59</v>
      </c>
      <c r="G454" s="2" t="s">
        <v>53</v>
      </c>
      <c r="H454" s="2">
        <v>2</v>
      </c>
      <c r="I454" s="4">
        <v>3800</v>
      </c>
      <c r="J454" s="2" t="s">
        <v>27</v>
      </c>
      <c r="K454" s="2" t="s">
        <v>17</v>
      </c>
      <c r="L454" s="4">
        <f t="shared" si="14"/>
        <v>7600</v>
      </c>
      <c r="M454" t="str">
        <f t="shared" si="15"/>
        <v>Counted</v>
      </c>
    </row>
    <row r="455" spans="1:13" x14ac:dyDescent="0.25">
      <c r="A455" s="2" t="s">
        <v>675</v>
      </c>
      <c r="B455" s="3">
        <v>46367</v>
      </c>
      <c r="C455" s="3" t="s">
        <v>851</v>
      </c>
      <c r="D455" s="2" t="s">
        <v>12</v>
      </c>
      <c r="E455" s="2" t="s">
        <v>589</v>
      </c>
      <c r="F455" s="2" t="s">
        <v>102</v>
      </c>
      <c r="G455" s="2" t="s">
        <v>53</v>
      </c>
      <c r="H455" s="2">
        <v>1</v>
      </c>
      <c r="I455" s="4">
        <v>12500</v>
      </c>
      <c r="J455" s="2" t="s">
        <v>16</v>
      </c>
      <c r="K455" s="2" t="s">
        <v>17</v>
      </c>
      <c r="L455" s="4">
        <f t="shared" si="14"/>
        <v>12500</v>
      </c>
      <c r="M455" t="str">
        <f t="shared" si="15"/>
        <v>Counted</v>
      </c>
    </row>
    <row r="456" spans="1:13" x14ac:dyDescent="0.25">
      <c r="A456" s="2" t="s">
        <v>676</v>
      </c>
      <c r="B456" s="3">
        <v>46368</v>
      </c>
      <c r="C456" s="3" t="s">
        <v>851</v>
      </c>
      <c r="D456" s="2" t="s">
        <v>30</v>
      </c>
      <c r="E456" s="2" t="s">
        <v>72</v>
      </c>
      <c r="F456" s="2" t="s">
        <v>191</v>
      </c>
      <c r="G456" s="2" t="s">
        <v>41</v>
      </c>
      <c r="H456" s="2">
        <v>3</v>
      </c>
      <c r="I456" s="4">
        <v>1800</v>
      </c>
      <c r="J456" s="2" t="s">
        <v>22</v>
      </c>
      <c r="K456" s="2" t="s">
        <v>17</v>
      </c>
      <c r="L456" s="4">
        <f t="shared" si="14"/>
        <v>5400</v>
      </c>
      <c r="M456" t="str">
        <f t="shared" si="15"/>
        <v>Counted</v>
      </c>
    </row>
    <row r="457" spans="1:13" x14ac:dyDescent="0.25">
      <c r="A457" s="2" t="s">
        <v>677</v>
      </c>
      <c r="B457" s="3">
        <v>46368</v>
      </c>
      <c r="C457" s="3" t="s">
        <v>851</v>
      </c>
      <c r="D457" s="2" t="s">
        <v>19</v>
      </c>
      <c r="E457" s="2" t="s">
        <v>143</v>
      </c>
      <c r="F457" s="2" t="s">
        <v>73</v>
      </c>
      <c r="G457" s="2" t="s">
        <v>15</v>
      </c>
      <c r="H457" s="2">
        <v>2</v>
      </c>
      <c r="I457" s="4">
        <v>18000</v>
      </c>
      <c r="J457" s="2" t="s">
        <v>37</v>
      </c>
      <c r="K457" s="2" t="s">
        <v>17</v>
      </c>
      <c r="L457" s="4">
        <f t="shared" si="14"/>
        <v>36000</v>
      </c>
      <c r="M457" t="str">
        <f t="shared" si="15"/>
        <v>Counted</v>
      </c>
    </row>
    <row r="458" spans="1:13" x14ac:dyDescent="0.25">
      <c r="A458" s="2" t="s">
        <v>678</v>
      </c>
      <c r="B458" s="3">
        <v>46368</v>
      </c>
      <c r="C458" s="3" t="s">
        <v>851</v>
      </c>
      <c r="D458" s="2" t="s">
        <v>12</v>
      </c>
      <c r="E458" s="2" t="s">
        <v>121</v>
      </c>
      <c r="F458" s="2" t="s">
        <v>102</v>
      </c>
      <c r="G458" s="2" t="s">
        <v>53</v>
      </c>
      <c r="H458" s="2">
        <v>1</v>
      </c>
      <c r="I458" s="4">
        <v>12500</v>
      </c>
      <c r="J458" s="2" t="s">
        <v>22</v>
      </c>
      <c r="K458" s="2" t="s">
        <v>28</v>
      </c>
      <c r="L458" s="4">
        <f t="shared" si="14"/>
        <v>12500</v>
      </c>
      <c r="M458" t="str">
        <f t="shared" si="15"/>
        <v>Counted</v>
      </c>
    </row>
    <row r="459" spans="1:13" x14ac:dyDescent="0.25">
      <c r="A459" s="2" t="s">
        <v>679</v>
      </c>
      <c r="B459" s="3">
        <v>46368</v>
      </c>
      <c r="C459" s="3" t="s">
        <v>851</v>
      </c>
      <c r="D459" s="2" t="s">
        <v>12</v>
      </c>
      <c r="E459" s="2" t="s">
        <v>230</v>
      </c>
      <c r="F459" s="2" t="s">
        <v>95</v>
      </c>
      <c r="G459" s="2" t="s">
        <v>15</v>
      </c>
      <c r="H459" s="2">
        <v>1</v>
      </c>
      <c r="I459" s="4">
        <v>58000</v>
      </c>
      <c r="J459" s="2" t="s">
        <v>92</v>
      </c>
      <c r="K459" s="2" t="s">
        <v>17</v>
      </c>
      <c r="L459" s="4">
        <f t="shared" si="14"/>
        <v>58000</v>
      </c>
      <c r="M459" t="str">
        <f t="shared" si="15"/>
        <v>Counted</v>
      </c>
    </row>
    <row r="460" spans="1:13" x14ac:dyDescent="0.25">
      <c r="A460" s="2" t="s">
        <v>680</v>
      </c>
      <c r="B460" s="3">
        <v>46368</v>
      </c>
      <c r="C460" s="3" t="s">
        <v>851</v>
      </c>
      <c r="D460" s="2" t="s">
        <v>24</v>
      </c>
      <c r="E460" s="2" t="s">
        <v>91</v>
      </c>
      <c r="F460" s="2" t="s">
        <v>114</v>
      </c>
      <c r="G460" s="2" t="s">
        <v>36</v>
      </c>
      <c r="H460" s="2">
        <v>1</v>
      </c>
      <c r="I460" s="4">
        <v>9500</v>
      </c>
      <c r="J460" s="2" t="s">
        <v>92</v>
      </c>
      <c r="K460" s="2" t="s">
        <v>28</v>
      </c>
      <c r="L460" s="4">
        <f t="shared" si="14"/>
        <v>9500</v>
      </c>
      <c r="M460" t="str">
        <f t="shared" si="15"/>
        <v>Counted</v>
      </c>
    </row>
    <row r="461" spans="1:13" x14ac:dyDescent="0.25">
      <c r="A461" s="2" t="s">
        <v>681</v>
      </c>
      <c r="B461" s="3">
        <v>46368</v>
      </c>
      <c r="C461" s="3" t="s">
        <v>851</v>
      </c>
      <c r="D461" s="2" t="s">
        <v>30</v>
      </c>
      <c r="E461" s="2" t="s">
        <v>222</v>
      </c>
      <c r="F461" s="2" t="s">
        <v>65</v>
      </c>
      <c r="G461" s="2" t="s">
        <v>36</v>
      </c>
      <c r="H461" s="2">
        <v>1</v>
      </c>
      <c r="I461" s="4">
        <v>28000</v>
      </c>
      <c r="J461" s="2" t="s">
        <v>37</v>
      </c>
      <c r="K461" s="2" t="s">
        <v>17</v>
      </c>
      <c r="L461" s="4">
        <f t="shared" si="14"/>
        <v>28000</v>
      </c>
      <c r="M461" t="str">
        <f t="shared" si="15"/>
        <v>Counted</v>
      </c>
    </row>
    <row r="462" spans="1:13" x14ac:dyDescent="0.25">
      <c r="A462" s="2" t="s">
        <v>682</v>
      </c>
      <c r="B462" s="3">
        <v>46368</v>
      </c>
      <c r="C462" s="3" t="s">
        <v>851</v>
      </c>
      <c r="D462" s="2" t="s">
        <v>30</v>
      </c>
      <c r="E462" s="2" t="s">
        <v>242</v>
      </c>
      <c r="F462" s="2" t="s">
        <v>84</v>
      </c>
      <c r="G462" s="2" t="s">
        <v>53</v>
      </c>
      <c r="H462" s="2">
        <v>1</v>
      </c>
      <c r="I462" s="4">
        <v>22000</v>
      </c>
      <c r="J462" s="2" t="s">
        <v>22</v>
      </c>
      <c r="K462" s="2" t="s">
        <v>17</v>
      </c>
      <c r="L462" s="4">
        <f t="shared" si="14"/>
        <v>22000</v>
      </c>
      <c r="M462" t="str">
        <f t="shared" si="15"/>
        <v>Counted</v>
      </c>
    </row>
    <row r="463" spans="1:13" x14ac:dyDescent="0.25">
      <c r="A463" s="2" t="s">
        <v>683</v>
      </c>
      <c r="B463" s="3">
        <v>46368</v>
      </c>
      <c r="C463" s="3" t="s">
        <v>851</v>
      </c>
      <c r="D463" s="2" t="s">
        <v>24</v>
      </c>
      <c r="E463" s="2" t="s">
        <v>379</v>
      </c>
      <c r="F463" s="2" t="s">
        <v>68</v>
      </c>
      <c r="G463" s="2" t="s">
        <v>41</v>
      </c>
      <c r="H463" s="2">
        <v>1</v>
      </c>
      <c r="I463" s="4">
        <v>1500</v>
      </c>
      <c r="J463" s="2" t="s">
        <v>22</v>
      </c>
      <c r="K463" s="2" t="s">
        <v>17</v>
      </c>
      <c r="L463" s="4">
        <f t="shared" si="14"/>
        <v>1500</v>
      </c>
      <c r="M463" t="str">
        <f t="shared" si="15"/>
        <v>Counted</v>
      </c>
    </row>
    <row r="464" spans="1:13" x14ac:dyDescent="0.25">
      <c r="A464" s="2" t="s">
        <v>684</v>
      </c>
      <c r="B464" s="3">
        <v>46368</v>
      </c>
      <c r="C464" s="3" t="s">
        <v>851</v>
      </c>
      <c r="D464" s="2" t="s">
        <v>12</v>
      </c>
      <c r="E464" s="2" t="s">
        <v>67</v>
      </c>
      <c r="F464" s="2" t="s">
        <v>35</v>
      </c>
      <c r="G464" s="2" t="s">
        <v>36</v>
      </c>
      <c r="H464" s="2">
        <v>1</v>
      </c>
      <c r="I464" s="4">
        <v>12000</v>
      </c>
      <c r="J464" s="2" t="s">
        <v>27</v>
      </c>
      <c r="K464" s="2" t="s">
        <v>17</v>
      </c>
      <c r="L464" s="4">
        <f t="shared" si="14"/>
        <v>12000</v>
      </c>
      <c r="M464" t="str">
        <f t="shared" si="15"/>
        <v>Counted</v>
      </c>
    </row>
    <row r="465" spans="1:13" x14ac:dyDescent="0.25">
      <c r="A465" s="2" t="s">
        <v>685</v>
      </c>
      <c r="B465" s="3">
        <v>46369</v>
      </c>
      <c r="C465" s="3" t="s">
        <v>851</v>
      </c>
      <c r="D465" s="2" t="s">
        <v>12</v>
      </c>
      <c r="E465" s="2" t="s">
        <v>147</v>
      </c>
      <c r="F465" s="2" t="s">
        <v>59</v>
      </c>
      <c r="G465" s="2" t="s">
        <v>53</v>
      </c>
      <c r="H465" s="2">
        <v>1</v>
      </c>
      <c r="I465" s="4">
        <v>3800</v>
      </c>
      <c r="J465" s="2" t="s">
        <v>37</v>
      </c>
      <c r="K465" s="2" t="s">
        <v>17</v>
      </c>
      <c r="L465" s="4">
        <f t="shared" si="14"/>
        <v>3800</v>
      </c>
      <c r="M465" t="str">
        <f t="shared" si="15"/>
        <v>Counted</v>
      </c>
    </row>
    <row r="466" spans="1:13" x14ac:dyDescent="0.25">
      <c r="A466" s="2" t="s">
        <v>686</v>
      </c>
      <c r="B466" s="3">
        <v>46369</v>
      </c>
      <c r="C466" s="3" t="s">
        <v>851</v>
      </c>
      <c r="D466" s="2" t="s">
        <v>24</v>
      </c>
      <c r="E466" s="2" t="s">
        <v>113</v>
      </c>
      <c r="F466" s="2" t="s">
        <v>95</v>
      </c>
      <c r="G466" s="2" t="s">
        <v>15</v>
      </c>
      <c r="H466" s="2">
        <v>1</v>
      </c>
      <c r="I466" s="4">
        <v>58000</v>
      </c>
      <c r="J466" s="2" t="s">
        <v>16</v>
      </c>
      <c r="K466" s="2" t="s">
        <v>17</v>
      </c>
      <c r="L466" s="4">
        <f t="shared" si="14"/>
        <v>58000</v>
      </c>
      <c r="M466" t="str">
        <f t="shared" si="15"/>
        <v>Counted</v>
      </c>
    </row>
    <row r="467" spans="1:13" x14ac:dyDescent="0.25">
      <c r="A467" s="2" t="s">
        <v>687</v>
      </c>
      <c r="B467" s="3">
        <v>46369</v>
      </c>
      <c r="C467" s="3" t="s">
        <v>851</v>
      </c>
      <c r="D467" s="2" t="s">
        <v>30</v>
      </c>
      <c r="E467" s="2" t="s">
        <v>48</v>
      </c>
      <c r="F467" s="2" t="s">
        <v>35</v>
      </c>
      <c r="G467" s="2" t="s">
        <v>36</v>
      </c>
      <c r="H467" s="2">
        <v>1</v>
      </c>
      <c r="I467" s="4">
        <v>12000</v>
      </c>
      <c r="J467" s="2" t="s">
        <v>37</v>
      </c>
      <c r="K467" s="2" t="s">
        <v>42</v>
      </c>
      <c r="L467" s="4">
        <f t="shared" si="14"/>
        <v>12000</v>
      </c>
      <c r="M467" t="str">
        <f t="shared" si="15"/>
        <v>Not Counted</v>
      </c>
    </row>
    <row r="468" spans="1:13" x14ac:dyDescent="0.25">
      <c r="A468" s="2" t="s">
        <v>688</v>
      </c>
      <c r="B468" s="3">
        <v>46369</v>
      </c>
      <c r="C468" s="3" t="s">
        <v>851</v>
      </c>
      <c r="D468" s="2" t="s">
        <v>30</v>
      </c>
      <c r="E468" s="2" t="s">
        <v>689</v>
      </c>
      <c r="F468" s="2" t="s">
        <v>49</v>
      </c>
      <c r="G468" s="2" t="s">
        <v>46</v>
      </c>
      <c r="H468" s="2">
        <v>2</v>
      </c>
      <c r="I468" s="4">
        <v>5000</v>
      </c>
      <c r="J468" s="2" t="s">
        <v>16</v>
      </c>
      <c r="K468" s="2" t="s">
        <v>28</v>
      </c>
      <c r="L468" s="4">
        <f t="shared" si="14"/>
        <v>10000</v>
      </c>
      <c r="M468" t="str">
        <f t="shared" si="15"/>
        <v>Counted</v>
      </c>
    </row>
    <row r="469" spans="1:13" x14ac:dyDescent="0.25">
      <c r="A469" s="2" t="s">
        <v>690</v>
      </c>
      <c r="B469" s="3">
        <v>46369</v>
      </c>
      <c r="C469" s="3" t="s">
        <v>851</v>
      </c>
      <c r="D469" s="2" t="s">
        <v>12</v>
      </c>
      <c r="E469" s="2" t="s">
        <v>55</v>
      </c>
      <c r="F469" s="2" t="s">
        <v>32</v>
      </c>
      <c r="G469" s="2" t="s">
        <v>15</v>
      </c>
      <c r="H469" s="2">
        <v>1</v>
      </c>
      <c r="I469" s="4">
        <v>52000</v>
      </c>
      <c r="J469" s="2" t="s">
        <v>37</v>
      </c>
      <c r="K469" s="2" t="s">
        <v>17</v>
      </c>
      <c r="L469" s="4">
        <f t="shared" si="14"/>
        <v>52000</v>
      </c>
      <c r="M469" t="str">
        <f t="shared" si="15"/>
        <v>Counted</v>
      </c>
    </row>
    <row r="470" spans="1:13" x14ac:dyDescent="0.25">
      <c r="A470" s="2" t="s">
        <v>691</v>
      </c>
      <c r="B470" s="3">
        <v>46369</v>
      </c>
      <c r="C470" s="3" t="s">
        <v>851</v>
      </c>
      <c r="D470" s="2" t="s">
        <v>12</v>
      </c>
      <c r="E470" s="2" t="s">
        <v>580</v>
      </c>
      <c r="F470" s="2" t="s">
        <v>40</v>
      </c>
      <c r="G470" s="2" t="s">
        <v>41</v>
      </c>
      <c r="H470" s="2">
        <v>1</v>
      </c>
      <c r="I470" s="4">
        <v>2400</v>
      </c>
      <c r="J470" s="2" t="s">
        <v>92</v>
      </c>
      <c r="K470" s="2" t="s">
        <v>42</v>
      </c>
      <c r="L470" s="4">
        <f t="shared" si="14"/>
        <v>2400</v>
      </c>
      <c r="M470" t="str">
        <f t="shared" si="15"/>
        <v>Not Counted</v>
      </c>
    </row>
    <row r="471" spans="1:13" x14ac:dyDescent="0.25">
      <c r="A471" s="2" t="s">
        <v>692</v>
      </c>
      <c r="B471" s="3">
        <v>46369</v>
      </c>
      <c r="C471" s="3" t="s">
        <v>851</v>
      </c>
      <c r="D471" s="2" t="s">
        <v>12</v>
      </c>
      <c r="E471" s="2" t="s">
        <v>693</v>
      </c>
      <c r="F471" s="2" t="s">
        <v>95</v>
      </c>
      <c r="G471" s="2" t="s">
        <v>15</v>
      </c>
      <c r="H471" s="2">
        <v>1</v>
      </c>
      <c r="I471" s="4">
        <v>58000</v>
      </c>
      <c r="J471" s="2" t="s">
        <v>37</v>
      </c>
      <c r="K471" s="2" t="s">
        <v>17</v>
      </c>
      <c r="L471" s="4">
        <f t="shared" si="14"/>
        <v>58000</v>
      </c>
      <c r="M471" t="str">
        <f t="shared" si="15"/>
        <v>Counted</v>
      </c>
    </row>
    <row r="472" spans="1:13" x14ac:dyDescent="0.25">
      <c r="A472" s="2" t="s">
        <v>694</v>
      </c>
      <c r="B472" s="3">
        <v>46369</v>
      </c>
      <c r="C472" s="3" t="s">
        <v>851</v>
      </c>
      <c r="D472" s="2" t="s">
        <v>24</v>
      </c>
      <c r="E472" s="2" t="s">
        <v>695</v>
      </c>
      <c r="F472" s="2" t="s">
        <v>32</v>
      </c>
      <c r="G472" s="2" t="s">
        <v>15</v>
      </c>
      <c r="H472" s="2">
        <v>1</v>
      </c>
      <c r="I472" s="4">
        <v>52000</v>
      </c>
      <c r="J472" s="2" t="s">
        <v>22</v>
      </c>
      <c r="K472" s="2" t="s">
        <v>17</v>
      </c>
      <c r="L472" s="4">
        <f t="shared" si="14"/>
        <v>52000</v>
      </c>
      <c r="M472" t="str">
        <f t="shared" si="15"/>
        <v>Counted</v>
      </c>
    </row>
    <row r="473" spans="1:13" x14ac:dyDescent="0.25">
      <c r="A473" s="2" t="s">
        <v>696</v>
      </c>
      <c r="B473" s="3">
        <v>46369</v>
      </c>
      <c r="C473" s="3" t="s">
        <v>851</v>
      </c>
      <c r="D473" s="2" t="s">
        <v>19</v>
      </c>
      <c r="E473" s="2" t="s">
        <v>89</v>
      </c>
      <c r="F473" s="2" t="s">
        <v>133</v>
      </c>
      <c r="G473" s="2" t="s">
        <v>15</v>
      </c>
      <c r="H473" s="2">
        <v>3</v>
      </c>
      <c r="I473" s="4">
        <v>1800</v>
      </c>
      <c r="J473" s="2" t="s">
        <v>16</v>
      </c>
      <c r="K473" s="2" t="s">
        <v>17</v>
      </c>
      <c r="L473" s="4">
        <f t="shared" si="14"/>
        <v>5400</v>
      </c>
      <c r="M473" t="str">
        <f t="shared" si="15"/>
        <v>Counted</v>
      </c>
    </row>
    <row r="474" spans="1:13" x14ac:dyDescent="0.25">
      <c r="A474" s="2" t="s">
        <v>697</v>
      </c>
      <c r="B474" s="3">
        <v>46370</v>
      </c>
      <c r="C474" s="3" t="s">
        <v>851</v>
      </c>
      <c r="D474" s="2" t="s">
        <v>24</v>
      </c>
      <c r="E474" s="2" t="s">
        <v>313</v>
      </c>
      <c r="F474" s="2" t="s">
        <v>52</v>
      </c>
      <c r="G474" s="2" t="s">
        <v>53</v>
      </c>
      <c r="H474" s="2">
        <v>1</v>
      </c>
      <c r="I474" s="4">
        <v>8500</v>
      </c>
      <c r="J474" s="2" t="s">
        <v>37</v>
      </c>
      <c r="K474" s="2" t="s">
        <v>17</v>
      </c>
      <c r="L474" s="4">
        <f t="shared" si="14"/>
        <v>8500</v>
      </c>
      <c r="M474" t="str">
        <f t="shared" si="15"/>
        <v>Counted</v>
      </c>
    </row>
    <row r="475" spans="1:13" x14ac:dyDescent="0.25">
      <c r="A475" s="2" t="s">
        <v>698</v>
      </c>
      <c r="B475" s="3">
        <v>46370</v>
      </c>
      <c r="C475" s="3" t="s">
        <v>851</v>
      </c>
      <c r="D475" s="2" t="s">
        <v>12</v>
      </c>
      <c r="E475" s="2" t="s">
        <v>280</v>
      </c>
      <c r="F475" s="2" t="s">
        <v>62</v>
      </c>
      <c r="G475" s="2" t="s">
        <v>41</v>
      </c>
      <c r="H475" s="2">
        <v>2</v>
      </c>
      <c r="I475" s="4">
        <v>2200</v>
      </c>
      <c r="J475" s="2" t="s">
        <v>92</v>
      </c>
      <c r="K475" s="2" t="s">
        <v>17</v>
      </c>
      <c r="L475" s="4">
        <f t="shared" si="14"/>
        <v>4400</v>
      </c>
      <c r="M475" t="str">
        <f t="shared" si="15"/>
        <v>Counted</v>
      </c>
    </row>
    <row r="476" spans="1:13" x14ac:dyDescent="0.25">
      <c r="A476" s="2" t="s">
        <v>699</v>
      </c>
      <c r="B476" s="3">
        <v>46370</v>
      </c>
      <c r="C476" s="3" t="s">
        <v>851</v>
      </c>
      <c r="D476" s="2" t="s">
        <v>19</v>
      </c>
      <c r="E476" s="2" t="s">
        <v>494</v>
      </c>
      <c r="F476" s="2" t="s">
        <v>114</v>
      </c>
      <c r="G476" s="2" t="s">
        <v>36</v>
      </c>
      <c r="H476" s="2">
        <v>1</v>
      </c>
      <c r="I476" s="4">
        <v>9500</v>
      </c>
      <c r="J476" s="2" t="s">
        <v>22</v>
      </c>
      <c r="K476" s="2" t="s">
        <v>17</v>
      </c>
      <c r="L476" s="4">
        <f t="shared" si="14"/>
        <v>9500</v>
      </c>
      <c r="M476" t="str">
        <f t="shared" si="15"/>
        <v>Counted</v>
      </c>
    </row>
    <row r="477" spans="1:13" x14ac:dyDescent="0.25">
      <c r="A477" s="2" t="s">
        <v>700</v>
      </c>
      <c r="B477" s="3">
        <v>46370</v>
      </c>
      <c r="C477" s="3" t="s">
        <v>851</v>
      </c>
      <c r="D477" s="2" t="s">
        <v>30</v>
      </c>
      <c r="E477" s="2" t="s">
        <v>202</v>
      </c>
      <c r="F477" s="2" t="s">
        <v>68</v>
      </c>
      <c r="G477" s="2" t="s">
        <v>41</v>
      </c>
      <c r="H477" s="2">
        <v>1</v>
      </c>
      <c r="I477" s="4">
        <v>1500</v>
      </c>
      <c r="J477" s="2" t="s">
        <v>37</v>
      </c>
      <c r="K477" s="2" t="s">
        <v>17</v>
      </c>
      <c r="L477" s="4">
        <f t="shared" si="14"/>
        <v>1500</v>
      </c>
      <c r="M477" t="str">
        <f t="shared" si="15"/>
        <v>Counted</v>
      </c>
    </row>
    <row r="478" spans="1:13" x14ac:dyDescent="0.25">
      <c r="A478" s="2" t="s">
        <v>701</v>
      </c>
      <c r="B478" s="3">
        <v>46370</v>
      </c>
      <c r="C478" s="3" t="s">
        <v>851</v>
      </c>
      <c r="D478" s="2" t="s">
        <v>24</v>
      </c>
      <c r="E478" s="2" t="s">
        <v>81</v>
      </c>
      <c r="F478" s="2" t="s">
        <v>14</v>
      </c>
      <c r="G478" s="2" t="s">
        <v>15</v>
      </c>
      <c r="H478" s="2">
        <v>2</v>
      </c>
      <c r="I478" s="4">
        <v>65000</v>
      </c>
      <c r="J478" s="2" t="s">
        <v>16</v>
      </c>
      <c r="K478" s="2" t="s">
        <v>17</v>
      </c>
      <c r="L478" s="4">
        <f t="shared" si="14"/>
        <v>130000</v>
      </c>
      <c r="M478" t="str">
        <f t="shared" si="15"/>
        <v>Counted</v>
      </c>
    </row>
    <row r="479" spans="1:13" x14ac:dyDescent="0.25">
      <c r="A479" s="2" t="s">
        <v>702</v>
      </c>
      <c r="B479" s="3">
        <v>46370</v>
      </c>
      <c r="C479" s="3" t="s">
        <v>851</v>
      </c>
      <c r="D479" s="2" t="s">
        <v>19</v>
      </c>
      <c r="E479" s="2" t="s">
        <v>387</v>
      </c>
      <c r="F479" s="2" t="s">
        <v>117</v>
      </c>
      <c r="G479" s="2" t="s">
        <v>46</v>
      </c>
      <c r="H479" s="2">
        <v>1</v>
      </c>
      <c r="I479" s="4">
        <v>2800</v>
      </c>
      <c r="J479" s="2" t="s">
        <v>22</v>
      </c>
      <c r="K479" s="2" t="s">
        <v>17</v>
      </c>
      <c r="L479" s="4">
        <f t="shared" si="14"/>
        <v>2800</v>
      </c>
      <c r="M479" t="str">
        <f t="shared" si="15"/>
        <v>Counted</v>
      </c>
    </row>
    <row r="480" spans="1:13" x14ac:dyDescent="0.25">
      <c r="A480" s="2" t="s">
        <v>703</v>
      </c>
      <c r="B480" s="3">
        <v>46370</v>
      </c>
      <c r="C480" s="3" t="s">
        <v>851</v>
      </c>
      <c r="D480" s="2" t="s">
        <v>24</v>
      </c>
      <c r="E480" s="2" t="s">
        <v>704</v>
      </c>
      <c r="F480" s="2" t="s">
        <v>73</v>
      </c>
      <c r="G480" s="2" t="s">
        <v>15</v>
      </c>
      <c r="H480" s="2">
        <v>1</v>
      </c>
      <c r="I480" s="4">
        <v>18000</v>
      </c>
      <c r="J480" s="2" t="s">
        <v>27</v>
      </c>
      <c r="K480" s="2" t="s">
        <v>17</v>
      </c>
      <c r="L480" s="4">
        <f t="shared" si="14"/>
        <v>18000</v>
      </c>
      <c r="M480" t="str">
        <f t="shared" si="15"/>
        <v>Counted</v>
      </c>
    </row>
    <row r="481" spans="1:13" x14ac:dyDescent="0.25">
      <c r="A481" s="2" t="s">
        <v>705</v>
      </c>
      <c r="B481" s="3">
        <v>46370</v>
      </c>
      <c r="C481" s="3" t="s">
        <v>851</v>
      </c>
      <c r="D481" s="2" t="s">
        <v>30</v>
      </c>
      <c r="E481" s="2" t="s">
        <v>67</v>
      </c>
      <c r="F481" s="2" t="s">
        <v>152</v>
      </c>
      <c r="G481" s="2" t="s">
        <v>36</v>
      </c>
      <c r="H481" s="2">
        <v>2</v>
      </c>
      <c r="I481" s="4">
        <v>6500</v>
      </c>
      <c r="J481" s="2" t="s">
        <v>22</v>
      </c>
      <c r="K481" s="2" t="s">
        <v>17</v>
      </c>
      <c r="L481" s="4">
        <f t="shared" si="14"/>
        <v>13000</v>
      </c>
      <c r="M481" t="str">
        <f t="shared" si="15"/>
        <v>Counted</v>
      </c>
    </row>
    <row r="482" spans="1:13" x14ac:dyDescent="0.25">
      <c r="A482" s="2" t="s">
        <v>706</v>
      </c>
      <c r="B482" s="3">
        <v>46370</v>
      </c>
      <c r="C482" s="3" t="s">
        <v>851</v>
      </c>
      <c r="D482" s="2" t="s">
        <v>12</v>
      </c>
      <c r="E482" s="2" t="s">
        <v>184</v>
      </c>
      <c r="F482" s="2" t="s">
        <v>35</v>
      </c>
      <c r="G482" s="2" t="s">
        <v>36</v>
      </c>
      <c r="H482" s="2">
        <v>1</v>
      </c>
      <c r="I482" s="4">
        <v>12000</v>
      </c>
      <c r="J482" s="2" t="s">
        <v>37</v>
      </c>
      <c r="K482" s="2" t="s">
        <v>17</v>
      </c>
      <c r="L482" s="4">
        <f t="shared" si="14"/>
        <v>12000</v>
      </c>
      <c r="M482" t="str">
        <f t="shared" si="15"/>
        <v>Counted</v>
      </c>
    </row>
    <row r="483" spans="1:13" x14ac:dyDescent="0.25">
      <c r="A483" s="2" t="s">
        <v>707</v>
      </c>
      <c r="B483" s="3">
        <v>46370</v>
      </c>
      <c r="C483" s="3" t="s">
        <v>851</v>
      </c>
      <c r="D483" s="2" t="s">
        <v>30</v>
      </c>
      <c r="E483" s="2" t="s">
        <v>125</v>
      </c>
      <c r="F483" s="2" t="s">
        <v>40</v>
      </c>
      <c r="G483" s="2" t="s">
        <v>41</v>
      </c>
      <c r="H483" s="2">
        <v>1</v>
      </c>
      <c r="I483" s="4">
        <v>2400</v>
      </c>
      <c r="J483" s="2" t="s">
        <v>22</v>
      </c>
      <c r="K483" s="2" t="s">
        <v>17</v>
      </c>
      <c r="L483" s="4">
        <f t="shared" si="14"/>
        <v>2400</v>
      </c>
      <c r="M483" t="str">
        <f t="shared" si="15"/>
        <v>Counted</v>
      </c>
    </row>
    <row r="484" spans="1:13" x14ac:dyDescent="0.25">
      <c r="A484" s="2" t="s">
        <v>708</v>
      </c>
      <c r="B484" s="3">
        <v>46370</v>
      </c>
      <c r="C484" s="3" t="s">
        <v>851</v>
      </c>
      <c r="D484" s="2" t="s">
        <v>12</v>
      </c>
      <c r="E484" s="2" t="s">
        <v>406</v>
      </c>
      <c r="F484" s="2" t="s">
        <v>102</v>
      </c>
      <c r="G484" s="2" t="s">
        <v>53</v>
      </c>
      <c r="H484" s="2">
        <v>1</v>
      </c>
      <c r="I484" s="4">
        <v>12500</v>
      </c>
      <c r="J484" s="2" t="s">
        <v>92</v>
      </c>
      <c r="K484" s="2" t="s">
        <v>107</v>
      </c>
      <c r="L484" s="4">
        <f t="shared" si="14"/>
        <v>12500</v>
      </c>
      <c r="M484" t="str">
        <f t="shared" si="15"/>
        <v>Not Counted</v>
      </c>
    </row>
    <row r="485" spans="1:13" x14ac:dyDescent="0.25">
      <c r="A485" s="2" t="s">
        <v>709</v>
      </c>
      <c r="B485" s="3">
        <v>46371</v>
      </c>
      <c r="C485" s="3" t="s">
        <v>851</v>
      </c>
      <c r="D485" s="2" t="s">
        <v>30</v>
      </c>
      <c r="E485" s="2" t="s">
        <v>412</v>
      </c>
      <c r="F485" s="2" t="s">
        <v>117</v>
      </c>
      <c r="G485" s="2" t="s">
        <v>46</v>
      </c>
      <c r="H485" s="2">
        <v>1</v>
      </c>
      <c r="I485" s="4">
        <v>2800</v>
      </c>
      <c r="J485" s="2" t="s">
        <v>16</v>
      </c>
      <c r="K485" s="2" t="s">
        <v>17</v>
      </c>
      <c r="L485" s="4">
        <f t="shared" si="14"/>
        <v>2800</v>
      </c>
      <c r="M485" t="str">
        <f t="shared" si="15"/>
        <v>Counted</v>
      </c>
    </row>
    <row r="486" spans="1:13" x14ac:dyDescent="0.25">
      <c r="A486" s="2" t="s">
        <v>710</v>
      </c>
      <c r="B486" s="3">
        <v>46371</v>
      </c>
      <c r="C486" s="3" t="s">
        <v>851</v>
      </c>
      <c r="D486" s="2" t="s">
        <v>30</v>
      </c>
      <c r="E486" s="2" t="s">
        <v>711</v>
      </c>
      <c r="F486" s="2" t="s">
        <v>21</v>
      </c>
      <c r="G486" s="2" t="s">
        <v>15</v>
      </c>
      <c r="H486" s="2">
        <v>1</v>
      </c>
      <c r="I486" s="4">
        <v>62000</v>
      </c>
      <c r="J486" s="2" t="s">
        <v>22</v>
      </c>
      <c r="K486" s="2" t="s">
        <v>17</v>
      </c>
      <c r="L486" s="4">
        <f t="shared" si="14"/>
        <v>62000</v>
      </c>
      <c r="M486" t="str">
        <f t="shared" si="15"/>
        <v>Counted</v>
      </c>
    </row>
    <row r="487" spans="1:13" x14ac:dyDescent="0.25">
      <c r="A487" s="2" t="s">
        <v>712</v>
      </c>
      <c r="B487" s="3">
        <v>46371</v>
      </c>
      <c r="C487" s="3" t="s">
        <v>851</v>
      </c>
      <c r="D487" s="2" t="s">
        <v>30</v>
      </c>
      <c r="E487" s="2" t="s">
        <v>274</v>
      </c>
      <c r="F487" s="2" t="s">
        <v>14</v>
      </c>
      <c r="G487" s="2" t="s">
        <v>15</v>
      </c>
      <c r="H487" s="2">
        <v>1</v>
      </c>
      <c r="I487" s="4">
        <v>65000</v>
      </c>
      <c r="J487" s="2" t="s">
        <v>22</v>
      </c>
      <c r="K487" s="2" t="s">
        <v>17</v>
      </c>
      <c r="L487" s="4">
        <f t="shared" si="14"/>
        <v>65000</v>
      </c>
      <c r="M487" t="str">
        <f t="shared" si="15"/>
        <v>Counted</v>
      </c>
    </row>
    <row r="488" spans="1:13" x14ac:dyDescent="0.25">
      <c r="A488" s="2" t="s">
        <v>713</v>
      </c>
      <c r="B488" s="3">
        <v>46371</v>
      </c>
      <c r="C488" s="3" t="s">
        <v>851</v>
      </c>
      <c r="D488" s="2" t="s">
        <v>30</v>
      </c>
      <c r="E488" s="2" t="s">
        <v>651</v>
      </c>
      <c r="F488" s="2" t="s">
        <v>65</v>
      </c>
      <c r="G488" s="2" t="s">
        <v>36</v>
      </c>
      <c r="H488" s="2">
        <v>1</v>
      </c>
      <c r="I488" s="4">
        <v>28000</v>
      </c>
      <c r="J488" s="2" t="s">
        <v>92</v>
      </c>
      <c r="K488" s="2" t="s">
        <v>17</v>
      </c>
      <c r="L488" s="4">
        <f t="shared" si="14"/>
        <v>28000</v>
      </c>
      <c r="M488" t="str">
        <f t="shared" si="15"/>
        <v>Counted</v>
      </c>
    </row>
    <row r="489" spans="1:13" x14ac:dyDescent="0.25">
      <c r="A489" s="2" t="s">
        <v>714</v>
      </c>
      <c r="B489" s="3">
        <v>46371</v>
      </c>
      <c r="C489" s="3" t="s">
        <v>851</v>
      </c>
      <c r="D489" s="2" t="s">
        <v>24</v>
      </c>
      <c r="E489" s="2" t="s">
        <v>176</v>
      </c>
      <c r="F489" s="2" t="s">
        <v>26</v>
      </c>
      <c r="G489" s="2" t="s">
        <v>15</v>
      </c>
      <c r="H489" s="2">
        <v>1</v>
      </c>
      <c r="I489" s="4">
        <v>24000</v>
      </c>
      <c r="J489" s="2" t="s">
        <v>16</v>
      </c>
      <c r="K489" s="2" t="s">
        <v>107</v>
      </c>
      <c r="L489" s="4">
        <f t="shared" si="14"/>
        <v>24000</v>
      </c>
      <c r="M489" t="str">
        <f t="shared" si="15"/>
        <v>Not Counted</v>
      </c>
    </row>
    <row r="490" spans="1:13" x14ac:dyDescent="0.25">
      <c r="A490" s="2" t="s">
        <v>715</v>
      </c>
      <c r="B490" s="3">
        <v>46371</v>
      </c>
      <c r="C490" s="3" t="s">
        <v>851</v>
      </c>
      <c r="D490" s="2" t="s">
        <v>24</v>
      </c>
      <c r="E490" s="2" t="s">
        <v>419</v>
      </c>
      <c r="F490" s="2" t="s">
        <v>40</v>
      </c>
      <c r="G490" s="2" t="s">
        <v>41</v>
      </c>
      <c r="H490" s="2">
        <v>1</v>
      </c>
      <c r="I490" s="4">
        <v>2400</v>
      </c>
      <c r="J490" s="2" t="s">
        <v>22</v>
      </c>
      <c r="K490" s="2" t="s">
        <v>107</v>
      </c>
      <c r="L490" s="4">
        <f t="shared" si="14"/>
        <v>2400</v>
      </c>
      <c r="M490" t="str">
        <f t="shared" si="15"/>
        <v>Not Counted</v>
      </c>
    </row>
    <row r="491" spans="1:13" x14ac:dyDescent="0.25">
      <c r="A491" s="2" t="s">
        <v>716</v>
      </c>
      <c r="B491" s="3">
        <v>46372</v>
      </c>
      <c r="C491" s="3" t="s">
        <v>851</v>
      </c>
      <c r="D491" s="2" t="s">
        <v>19</v>
      </c>
      <c r="E491" s="2" t="s">
        <v>224</v>
      </c>
      <c r="F491" s="2" t="s">
        <v>102</v>
      </c>
      <c r="G491" s="2" t="s">
        <v>53</v>
      </c>
      <c r="H491" s="2">
        <v>2</v>
      </c>
      <c r="I491" s="4">
        <v>12500</v>
      </c>
      <c r="J491" s="2" t="s">
        <v>22</v>
      </c>
      <c r="K491" s="2" t="s">
        <v>28</v>
      </c>
      <c r="L491" s="4">
        <f t="shared" si="14"/>
        <v>25000</v>
      </c>
      <c r="M491" t="str">
        <f t="shared" si="15"/>
        <v>Counted</v>
      </c>
    </row>
    <row r="492" spans="1:13" x14ac:dyDescent="0.25">
      <c r="A492" s="2" t="s">
        <v>717</v>
      </c>
      <c r="B492" s="3">
        <v>46372</v>
      </c>
      <c r="C492" s="3" t="s">
        <v>851</v>
      </c>
      <c r="D492" s="2" t="s">
        <v>24</v>
      </c>
      <c r="E492" s="2" t="s">
        <v>101</v>
      </c>
      <c r="F492" s="2" t="s">
        <v>49</v>
      </c>
      <c r="G492" s="2" t="s">
        <v>46</v>
      </c>
      <c r="H492" s="2">
        <v>1</v>
      </c>
      <c r="I492" s="4">
        <v>5000</v>
      </c>
      <c r="J492" s="2" t="s">
        <v>92</v>
      </c>
      <c r="K492" s="2" t="s">
        <v>28</v>
      </c>
      <c r="L492" s="4">
        <f t="shared" si="14"/>
        <v>5000</v>
      </c>
      <c r="M492" t="str">
        <f t="shared" si="15"/>
        <v>Counted</v>
      </c>
    </row>
    <row r="493" spans="1:13" x14ac:dyDescent="0.25">
      <c r="A493" s="2" t="s">
        <v>718</v>
      </c>
      <c r="B493" s="3">
        <v>46372</v>
      </c>
      <c r="C493" s="3" t="s">
        <v>851</v>
      </c>
      <c r="D493" s="2" t="s">
        <v>24</v>
      </c>
      <c r="E493" s="2" t="s">
        <v>271</v>
      </c>
      <c r="F493" s="2" t="s">
        <v>40</v>
      </c>
      <c r="G493" s="2" t="s">
        <v>41</v>
      </c>
      <c r="H493" s="2">
        <v>1</v>
      </c>
      <c r="I493" s="4">
        <v>2400</v>
      </c>
      <c r="J493" s="2" t="s">
        <v>22</v>
      </c>
      <c r="K493" s="2" t="s">
        <v>17</v>
      </c>
      <c r="L493" s="4">
        <f t="shared" si="14"/>
        <v>2400</v>
      </c>
      <c r="M493" t="str">
        <f t="shared" si="15"/>
        <v>Counted</v>
      </c>
    </row>
    <row r="494" spans="1:13" x14ac:dyDescent="0.25">
      <c r="A494" s="2" t="s">
        <v>719</v>
      </c>
      <c r="B494" s="3">
        <v>46372</v>
      </c>
      <c r="C494" s="3" t="s">
        <v>851</v>
      </c>
      <c r="D494" s="2" t="s">
        <v>19</v>
      </c>
      <c r="E494" s="2" t="s">
        <v>379</v>
      </c>
      <c r="F494" s="2" t="s">
        <v>59</v>
      </c>
      <c r="G494" s="2" t="s">
        <v>53</v>
      </c>
      <c r="H494" s="2">
        <v>3</v>
      </c>
      <c r="I494" s="4">
        <v>3800</v>
      </c>
      <c r="J494" s="2" t="s">
        <v>37</v>
      </c>
      <c r="K494" s="2" t="s">
        <v>17</v>
      </c>
      <c r="L494" s="4">
        <f t="shared" si="14"/>
        <v>11400</v>
      </c>
      <c r="M494" t="str">
        <f t="shared" si="15"/>
        <v>Counted</v>
      </c>
    </row>
    <row r="495" spans="1:13" x14ac:dyDescent="0.25">
      <c r="A495" s="2" t="s">
        <v>720</v>
      </c>
      <c r="B495" s="3">
        <v>46372</v>
      </c>
      <c r="C495" s="3" t="s">
        <v>851</v>
      </c>
      <c r="D495" s="2" t="s">
        <v>30</v>
      </c>
      <c r="E495" s="2" t="s">
        <v>154</v>
      </c>
      <c r="F495" s="2" t="s">
        <v>87</v>
      </c>
      <c r="G495" s="2" t="s">
        <v>46</v>
      </c>
      <c r="H495" s="2">
        <v>1</v>
      </c>
      <c r="I495" s="4">
        <v>1600</v>
      </c>
      <c r="J495" s="2" t="s">
        <v>16</v>
      </c>
      <c r="K495" s="2" t="s">
        <v>107</v>
      </c>
      <c r="L495" s="4">
        <f t="shared" si="14"/>
        <v>1600</v>
      </c>
      <c r="M495" t="str">
        <f t="shared" si="15"/>
        <v>Not Counted</v>
      </c>
    </row>
    <row r="496" spans="1:13" x14ac:dyDescent="0.25">
      <c r="A496" s="2" t="s">
        <v>721</v>
      </c>
      <c r="B496" s="3">
        <v>46372</v>
      </c>
      <c r="C496" s="3" t="s">
        <v>851</v>
      </c>
      <c r="D496" s="2" t="s">
        <v>12</v>
      </c>
      <c r="E496" s="2" t="s">
        <v>512</v>
      </c>
      <c r="F496" s="2" t="s">
        <v>32</v>
      </c>
      <c r="G496" s="2" t="s">
        <v>15</v>
      </c>
      <c r="H496" s="2">
        <v>1</v>
      </c>
      <c r="I496" s="4">
        <v>52000</v>
      </c>
      <c r="J496" s="2" t="s">
        <v>22</v>
      </c>
      <c r="K496" s="2" t="s">
        <v>17</v>
      </c>
      <c r="L496" s="4">
        <f t="shared" si="14"/>
        <v>52000</v>
      </c>
      <c r="M496" t="str">
        <f t="shared" si="15"/>
        <v>Counted</v>
      </c>
    </row>
    <row r="497" spans="1:13" x14ac:dyDescent="0.25">
      <c r="A497" s="2" t="s">
        <v>722</v>
      </c>
      <c r="B497" s="3">
        <v>46373</v>
      </c>
      <c r="C497" s="3" t="s">
        <v>851</v>
      </c>
      <c r="D497" s="2" t="s">
        <v>12</v>
      </c>
      <c r="E497" s="2" t="s">
        <v>151</v>
      </c>
      <c r="F497" s="2" t="s">
        <v>56</v>
      </c>
      <c r="G497" s="2" t="s">
        <v>46</v>
      </c>
      <c r="H497" s="2">
        <v>2</v>
      </c>
      <c r="I497" s="4">
        <v>7500</v>
      </c>
      <c r="J497" s="2" t="s">
        <v>92</v>
      </c>
      <c r="K497" s="2" t="s">
        <v>28</v>
      </c>
      <c r="L497" s="4">
        <f t="shared" si="14"/>
        <v>15000</v>
      </c>
      <c r="M497" t="str">
        <f t="shared" si="15"/>
        <v>Counted</v>
      </c>
    </row>
    <row r="498" spans="1:13" x14ac:dyDescent="0.25">
      <c r="A498" s="2" t="s">
        <v>723</v>
      </c>
      <c r="B498" s="3">
        <v>46373</v>
      </c>
      <c r="C498" s="3" t="s">
        <v>851</v>
      </c>
      <c r="D498" s="2" t="s">
        <v>24</v>
      </c>
      <c r="E498" s="2" t="s">
        <v>724</v>
      </c>
      <c r="F498" s="2" t="s">
        <v>65</v>
      </c>
      <c r="G498" s="2" t="s">
        <v>36</v>
      </c>
      <c r="H498" s="2">
        <v>1</v>
      </c>
      <c r="I498" s="4">
        <v>28000</v>
      </c>
      <c r="J498" s="2" t="s">
        <v>22</v>
      </c>
      <c r="K498" s="2" t="s">
        <v>17</v>
      </c>
      <c r="L498" s="4">
        <f t="shared" si="14"/>
        <v>28000</v>
      </c>
      <c r="M498" t="str">
        <f t="shared" si="15"/>
        <v>Counted</v>
      </c>
    </row>
    <row r="499" spans="1:13" x14ac:dyDescent="0.25">
      <c r="A499" s="2" t="s">
        <v>725</v>
      </c>
      <c r="B499" s="3">
        <v>46373</v>
      </c>
      <c r="C499" s="3" t="s">
        <v>851</v>
      </c>
      <c r="D499" s="2" t="s">
        <v>12</v>
      </c>
      <c r="E499" s="2" t="s">
        <v>726</v>
      </c>
      <c r="F499" s="2" t="s">
        <v>35</v>
      </c>
      <c r="G499" s="2" t="s">
        <v>36</v>
      </c>
      <c r="H499" s="2">
        <v>1</v>
      </c>
      <c r="I499" s="4">
        <v>12000</v>
      </c>
      <c r="J499" s="2" t="s">
        <v>16</v>
      </c>
      <c r="K499" s="2" t="s">
        <v>28</v>
      </c>
      <c r="L499" s="4">
        <f t="shared" si="14"/>
        <v>12000</v>
      </c>
      <c r="M499" t="str">
        <f t="shared" si="15"/>
        <v>Counted</v>
      </c>
    </row>
    <row r="500" spans="1:13" x14ac:dyDescent="0.25">
      <c r="A500" s="2" t="s">
        <v>727</v>
      </c>
      <c r="B500" s="3">
        <v>46373</v>
      </c>
      <c r="C500" s="3" t="s">
        <v>851</v>
      </c>
      <c r="D500" s="2" t="s">
        <v>19</v>
      </c>
      <c r="E500" s="2" t="s">
        <v>544</v>
      </c>
      <c r="F500" s="2" t="s">
        <v>133</v>
      </c>
      <c r="G500" s="2" t="s">
        <v>15</v>
      </c>
      <c r="H500" s="2">
        <v>2</v>
      </c>
      <c r="I500" s="4">
        <v>1800</v>
      </c>
      <c r="J500" s="2" t="s">
        <v>16</v>
      </c>
      <c r="K500" s="2" t="s">
        <v>17</v>
      </c>
      <c r="L500" s="4">
        <f t="shared" si="14"/>
        <v>3600</v>
      </c>
      <c r="M500" t="str">
        <f t="shared" si="15"/>
        <v>Counted</v>
      </c>
    </row>
    <row r="501" spans="1:13" x14ac:dyDescent="0.25">
      <c r="A501" s="2" t="s">
        <v>728</v>
      </c>
      <c r="B501" s="3">
        <v>46373</v>
      </c>
      <c r="C501" s="3" t="s">
        <v>851</v>
      </c>
      <c r="D501" s="2" t="s">
        <v>30</v>
      </c>
      <c r="E501" s="2" t="s">
        <v>349</v>
      </c>
      <c r="F501" s="2" t="s">
        <v>191</v>
      </c>
      <c r="G501" s="2" t="s">
        <v>41</v>
      </c>
      <c r="H501" s="2">
        <v>2</v>
      </c>
      <c r="I501" s="4">
        <v>1800</v>
      </c>
      <c r="J501" s="2" t="s">
        <v>16</v>
      </c>
      <c r="K501" s="2" t="s">
        <v>28</v>
      </c>
      <c r="L501" s="4">
        <f t="shared" si="14"/>
        <v>3600</v>
      </c>
      <c r="M501" t="str">
        <f t="shared" si="15"/>
        <v>Counted</v>
      </c>
    </row>
    <row r="502" spans="1:13" x14ac:dyDescent="0.25">
      <c r="A502" s="2" t="s">
        <v>729</v>
      </c>
      <c r="B502" s="3">
        <v>46374</v>
      </c>
      <c r="C502" s="3" t="s">
        <v>851</v>
      </c>
      <c r="D502" s="2" t="s">
        <v>24</v>
      </c>
      <c r="E502" s="2" t="s">
        <v>132</v>
      </c>
      <c r="F502" s="2" t="s">
        <v>21</v>
      </c>
      <c r="G502" s="2" t="s">
        <v>15</v>
      </c>
      <c r="H502" s="2">
        <v>1</v>
      </c>
      <c r="I502" s="4">
        <v>62000</v>
      </c>
      <c r="J502" s="2" t="s">
        <v>37</v>
      </c>
      <c r="K502" s="2" t="s">
        <v>17</v>
      </c>
      <c r="L502" s="4">
        <f t="shared" si="14"/>
        <v>62000</v>
      </c>
      <c r="M502" t="str">
        <f t="shared" si="15"/>
        <v>Counted</v>
      </c>
    </row>
    <row r="503" spans="1:13" x14ac:dyDescent="0.25">
      <c r="A503" s="2" t="s">
        <v>730</v>
      </c>
      <c r="B503" s="3">
        <v>46374</v>
      </c>
      <c r="C503" s="3" t="s">
        <v>851</v>
      </c>
      <c r="D503" s="2" t="s">
        <v>30</v>
      </c>
      <c r="E503" s="2" t="s">
        <v>672</v>
      </c>
      <c r="F503" s="2" t="s">
        <v>133</v>
      </c>
      <c r="G503" s="2" t="s">
        <v>15</v>
      </c>
      <c r="H503" s="2">
        <v>2</v>
      </c>
      <c r="I503" s="4">
        <v>1800</v>
      </c>
      <c r="J503" s="2" t="s">
        <v>22</v>
      </c>
      <c r="K503" s="2" t="s">
        <v>107</v>
      </c>
      <c r="L503" s="4">
        <f t="shared" si="14"/>
        <v>3600</v>
      </c>
      <c r="M503" t="str">
        <f t="shared" si="15"/>
        <v>Not Counted</v>
      </c>
    </row>
    <row r="504" spans="1:13" x14ac:dyDescent="0.25">
      <c r="A504" s="2" t="s">
        <v>731</v>
      </c>
      <c r="B504" s="3">
        <v>46374</v>
      </c>
      <c r="C504" s="3" t="s">
        <v>851</v>
      </c>
      <c r="D504" s="2" t="s">
        <v>19</v>
      </c>
      <c r="E504" s="2" t="s">
        <v>406</v>
      </c>
      <c r="F504" s="2" t="s">
        <v>95</v>
      </c>
      <c r="G504" s="2" t="s">
        <v>15</v>
      </c>
      <c r="H504" s="2">
        <v>1</v>
      </c>
      <c r="I504" s="4">
        <v>58000</v>
      </c>
      <c r="J504" s="2" t="s">
        <v>22</v>
      </c>
      <c r="K504" s="2" t="s">
        <v>107</v>
      </c>
      <c r="L504" s="4">
        <f t="shared" si="14"/>
        <v>58000</v>
      </c>
      <c r="M504" t="str">
        <f t="shared" si="15"/>
        <v>Not Counted</v>
      </c>
    </row>
    <row r="505" spans="1:13" x14ac:dyDescent="0.25">
      <c r="A505" s="2" t="s">
        <v>732</v>
      </c>
      <c r="B505" s="3">
        <v>46374</v>
      </c>
      <c r="C505" s="3" t="s">
        <v>851</v>
      </c>
      <c r="D505" s="2" t="s">
        <v>19</v>
      </c>
      <c r="E505" s="2" t="s">
        <v>67</v>
      </c>
      <c r="F505" s="2" t="s">
        <v>133</v>
      </c>
      <c r="G505" s="2" t="s">
        <v>15</v>
      </c>
      <c r="H505" s="2">
        <v>1</v>
      </c>
      <c r="I505" s="4">
        <v>1800</v>
      </c>
      <c r="J505" s="2" t="s">
        <v>22</v>
      </c>
      <c r="K505" s="2" t="s">
        <v>17</v>
      </c>
      <c r="L505" s="4">
        <f t="shared" si="14"/>
        <v>1800</v>
      </c>
      <c r="M505" t="str">
        <f t="shared" si="15"/>
        <v>Counted</v>
      </c>
    </row>
    <row r="506" spans="1:13" x14ac:dyDescent="0.25">
      <c r="A506" s="2" t="s">
        <v>733</v>
      </c>
      <c r="B506" s="3">
        <v>46374</v>
      </c>
      <c r="C506" s="3" t="s">
        <v>851</v>
      </c>
      <c r="D506" s="2" t="s">
        <v>24</v>
      </c>
      <c r="E506" s="2" t="s">
        <v>307</v>
      </c>
      <c r="F506" s="2" t="s">
        <v>243</v>
      </c>
      <c r="G506" s="2" t="s">
        <v>15</v>
      </c>
      <c r="H506" s="2">
        <v>1</v>
      </c>
      <c r="I506" s="4">
        <v>9500</v>
      </c>
      <c r="J506" s="2" t="s">
        <v>22</v>
      </c>
      <c r="K506" s="2" t="s">
        <v>17</v>
      </c>
      <c r="L506" s="4">
        <f t="shared" si="14"/>
        <v>9500</v>
      </c>
      <c r="M506" t="str">
        <f t="shared" si="15"/>
        <v>Counted</v>
      </c>
    </row>
    <row r="507" spans="1:13" x14ac:dyDescent="0.25">
      <c r="A507" s="2" t="s">
        <v>734</v>
      </c>
      <c r="B507" s="3">
        <v>46374</v>
      </c>
      <c r="C507" s="3" t="s">
        <v>851</v>
      </c>
      <c r="D507" s="2" t="s">
        <v>19</v>
      </c>
      <c r="E507" s="2" t="s">
        <v>291</v>
      </c>
      <c r="F507" s="2" t="s">
        <v>21</v>
      </c>
      <c r="G507" s="2" t="s">
        <v>15</v>
      </c>
      <c r="H507" s="2">
        <v>1</v>
      </c>
      <c r="I507" s="4">
        <v>62000</v>
      </c>
      <c r="J507" s="2" t="s">
        <v>22</v>
      </c>
      <c r="K507" s="2" t="s">
        <v>17</v>
      </c>
      <c r="L507" s="4">
        <f t="shared" si="14"/>
        <v>62000</v>
      </c>
      <c r="M507" t="str">
        <f t="shared" si="15"/>
        <v>Counted</v>
      </c>
    </row>
    <row r="508" spans="1:13" x14ac:dyDescent="0.25">
      <c r="A508" s="2" t="s">
        <v>735</v>
      </c>
      <c r="B508" s="3">
        <v>46374</v>
      </c>
      <c r="C508" s="3" t="s">
        <v>851</v>
      </c>
      <c r="D508" s="2" t="s">
        <v>19</v>
      </c>
      <c r="E508" s="2" t="s">
        <v>355</v>
      </c>
      <c r="F508" s="2" t="s">
        <v>95</v>
      </c>
      <c r="G508" s="2" t="s">
        <v>15</v>
      </c>
      <c r="H508" s="2">
        <v>1</v>
      </c>
      <c r="I508" s="4">
        <v>58000</v>
      </c>
      <c r="J508" s="2" t="s">
        <v>22</v>
      </c>
      <c r="K508" s="2" t="s">
        <v>17</v>
      </c>
      <c r="L508" s="4">
        <f t="shared" si="14"/>
        <v>58000</v>
      </c>
      <c r="M508" t="str">
        <f t="shared" si="15"/>
        <v>Counted</v>
      </c>
    </row>
    <row r="509" spans="1:13" x14ac:dyDescent="0.25">
      <c r="A509" s="2" t="s">
        <v>736</v>
      </c>
      <c r="B509" s="3">
        <v>46374</v>
      </c>
      <c r="C509" s="3" t="s">
        <v>851</v>
      </c>
      <c r="D509" s="2" t="s">
        <v>12</v>
      </c>
      <c r="E509" s="2" t="s">
        <v>141</v>
      </c>
      <c r="F509" s="2" t="s">
        <v>56</v>
      </c>
      <c r="G509" s="2" t="s">
        <v>46</v>
      </c>
      <c r="H509" s="2">
        <v>1</v>
      </c>
      <c r="I509" s="4">
        <v>7500</v>
      </c>
      <c r="J509" s="2" t="s">
        <v>37</v>
      </c>
      <c r="K509" s="2" t="s">
        <v>17</v>
      </c>
      <c r="L509" s="4">
        <f t="shared" si="14"/>
        <v>7500</v>
      </c>
      <c r="M509" t="str">
        <f t="shared" si="15"/>
        <v>Counted</v>
      </c>
    </row>
    <row r="510" spans="1:13" x14ac:dyDescent="0.25">
      <c r="A510" s="2" t="s">
        <v>737</v>
      </c>
      <c r="B510" s="3">
        <v>46374</v>
      </c>
      <c r="C510" s="3" t="s">
        <v>851</v>
      </c>
      <c r="D510" s="2" t="s">
        <v>24</v>
      </c>
      <c r="E510" s="2" t="s">
        <v>302</v>
      </c>
      <c r="F510" s="2" t="s">
        <v>40</v>
      </c>
      <c r="G510" s="2" t="s">
        <v>41</v>
      </c>
      <c r="H510" s="2">
        <v>1</v>
      </c>
      <c r="I510" s="4">
        <v>2400</v>
      </c>
      <c r="J510" s="2" t="s">
        <v>92</v>
      </c>
      <c r="K510" s="2" t="s">
        <v>17</v>
      </c>
      <c r="L510" s="4">
        <f t="shared" si="14"/>
        <v>2400</v>
      </c>
      <c r="M510" t="str">
        <f t="shared" si="15"/>
        <v>Counted</v>
      </c>
    </row>
    <row r="511" spans="1:13" x14ac:dyDescent="0.25">
      <c r="A511" s="2" t="s">
        <v>738</v>
      </c>
      <c r="B511" s="3">
        <v>46375</v>
      </c>
      <c r="C511" s="3" t="s">
        <v>851</v>
      </c>
      <c r="D511" s="2" t="s">
        <v>24</v>
      </c>
      <c r="E511" s="2" t="s">
        <v>739</v>
      </c>
      <c r="F511" s="2" t="s">
        <v>152</v>
      </c>
      <c r="G511" s="2" t="s">
        <v>36</v>
      </c>
      <c r="H511" s="2">
        <v>2</v>
      </c>
      <c r="I511" s="4">
        <v>6500</v>
      </c>
      <c r="J511" s="2" t="s">
        <v>16</v>
      </c>
      <c r="K511" s="2" t="s">
        <v>17</v>
      </c>
      <c r="L511" s="4">
        <f t="shared" si="14"/>
        <v>13000</v>
      </c>
      <c r="M511" t="str">
        <f t="shared" si="15"/>
        <v>Counted</v>
      </c>
    </row>
    <row r="512" spans="1:13" x14ac:dyDescent="0.25">
      <c r="A512" s="2" t="s">
        <v>740</v>
      </c>
      <c r="B512" s="3">
        <v>46375</v>
      </c>
      <c r="C512" s="3" t="s">
        <v>851</v>
      </c>
      <c r="D512" s="2" t="s">
        <v>24</v>
      </c>
      <c r="E512" s="2" t="s">
        <v>119</v>
      </c>
      <c r="F512" s="2" t="s">
        <v>62</v>
      </c>
      <c r="G512" s="2" t="s">
        <v>41</v>
      </c>
      <c r="H512" s="2">
        <v>1</v>
      </c>
      <c r="I512" s="4">
        <v>2200</v>
      </c>
      <c r="J512" s="2" t="s">
        <v>22</v>
      </c>
      <c r="K512" s="2" t="s">
        <v>28</v>
      </c>
      <c r="L512" s="4">
        <f t="shared" si="14"/>
        <v>2200</v>
      </c>
      <c r="M512" t="str">
        <f t="shared" si="15"/>
        <v>Counted</v>
      </c>
    </row>
    <row r="513" spans="1:13" x14ac:dyDescent="0.25">
      <c r="A513" s="2" t="s">
        <v>741</v>
      </c>
      <c r="B513" s="3">
        <v>46375</v>
      </c>
      <c r="C513" s="3" t="s">
        <v>851</v>
      </c>
      <c r="D513" s="2" t="s">
        <v>24</v>
      </c>
      <c r="E513" s="2" t="s">
        <v>742</v>
      </c>
      <c r="F513" s="2" t="s">
        <v>52</v>
      </c>
      <c r="G513" s="2" t="s">
        <v>53</v>
      </c>
      <c r="H513" s="2">
        <v>1</v>
      </c>
      <c r="I513" s="4">
        <v>8500</v>
      </c>
      <c r="J513" s="2" t="s">
        <v>16</v>
      </c>
      <c r="K513" s="2" t="s">
        <v>28</v>
      </c>
      <c r="L513" s="4">
        <f t="shared" si="14"/>
        <v>8500</v>
      </c>
      <c r="M513" t="str">
        <f t="shared" si="15"/>
        <v>Counted</v>
      </c>
    </row>
    <row r="514" spans="1:13" x14ac:dyDescent="0.25">
      <c r="A514" s="2" t="s">
        <v>743</v>
      </c>
      <c r="B514" s="3">
        <v>46375</v>
      </c>
      <c r="C514" s="3" t="s">
        <v>851</v>
      </c>
      <c r="D514" s="2" t="s">
        <v>19</v>
      </c>
      <c r="E514" s="2" t="s">
        <v>657</v>
      </c>
      <c r="F514" s="2" t="s">
        <v>73</v>
      </c>
      <c r="G514" s="2" t="s">
        <v>15</v>
      </c>
      <c r="H514" s="2">
        <v>1</v>
      </c>
      <c r="I514" s="4">
        <v>18000</v>
      </c>
      <c r="J514" s="2" t="s">
        <v>16</v>
      </c>
      <c r="K514" s="2" t="s">
        <v>17</v>
      </c>
      <c r="L514" s="4">
        <f t="shared" ref="L514:L577" si="16">H514*I514</f>
        <v>18000</v>
      </c>
      <c r="M514" t="str">
        <f t="shared" si="15"/>
        <v>Counted</v>
      </c>
    </row>
    <row r="515" spans="1:13" x14ac:dyDescent="0.25">
      <c r="A515" s="2" t="s">
        <v>744</v>
      </c>
      <c r="B515" s="3">
        <v>46376</v>
      </c>
      <c r="C515" s="3" t="s">
        <v>851</v>
      </c>
      <c r="D515" s="2" t="s">
        <v>30</v>
      </c>
      <c r="E515" s="2" t="s">
        <v>141</v>
      </c>
      <c r="F515" s="2" t="s">
        <v>191</v>
      </c>
      <c r="G515" s="2" t="s">
        <v>41</v>
      </c>
      <c r="H515" s="2">
        <v>1</v>
      </c>
      <c r="I515" s="4">
        <v>1800</v>
      </c>
      <c r="J515" s="2" t="s">
        <v>22</v>
      </c>
      <c r="K515" s="2" t="s">
        <v>17</v>
      </c>
      <c r="L515" s="4">
        <f t="shared" si="16"/>
        <v>1800</v>
      </c>
      <c r="M515" t="str">
        <f t="shared" ref="M515:M578" si="17">IF(OR(K515="Cancelled",K515="Returned"),"Not Counted","Counted")</f>
        <v>Counted</v>
      </c>
    </row>
    <row r="516" spans="1:13" x14ac:dyDescent="0.25">
      <c r="A516" s="2" t="s">
        <v>745</v>
      </c>
      <c r="B516" s="3">
        <v>46376</v>
      </c>
      <c r="C516" s="3" t="s">
        <v>851</v>
      </c>
      <c r="D516" s="2" t="s">
        <v>30</v>
      </c>
      <c r="E516" s="2" t="s">
        <v>161</v>
      </c>
      <c r="F516" s="2" t="s">
        <v>59</v>
      </c>
      <c r="G516" s="2" t="s">
        <v>53</v>
      </c>
      <c r="H516" s="2">
        <v>1</v>
      </c>
      <c r="I516" s="4">
        <v>3800</v>
      </c>
      <c r="J516" s="2" t="s">
        <v>37</v>
      </c>
      <c r="K516" s="2" t="s">
        <v>17</v>
      </c>
      <c r="L516" s="4">
        <f t="shared" si="16"/>
        <v>3800</v>
      </c>
      <c r="M516" t="str">
        <f t="shared" si="17"/>
        <v>Counted</v>
      </c>
    </row>
    <row r="517" spans="1:13" x14ac:dyDescent="0.25">
      <c r="A517" s="2" t="s">
        <v>746</v>
      </c>
      <c r="B517" s="3">
        <v>46376</v>
      </c>
      <c r="C517" s="3" t="s">
        <v>851</v>
      </c>
      <c r="D517" s="2" t="s">
        <v>30</v>
      </c>
      <c r="E517" s="2" t="s">
        <v>271</v>
      </c>
      <c r="F517" s="2" t="s">
        <v>133</v>
      </c>
      <c r="G517" s="2" t="s">
        <v>15</v>
      </c>
      <c r="H517" s="2">
        <v>3</v>
      </c>
      <c r="I517" s="4">
        <v>1800</v>
      </c>
      <c r="J517" s="2" t="s">
        <v>22</v>
      </c>
      <c r="K517" s="2" t="s">
        <v>17</v>
      </c>
      <c r="L517" s="4">
        <f t="shared" si="16"/>
        <v>5400</v>
      </c>
      <c r="M517" t="str">
        <f t="shared" si="17"/>
        <v>Counted</v>
      </c>
    </row>
    <row r="518" spans="1:13" x14ac:dyDescent="0.25">
      <c r="A518" s="2" t="s">
        <v>747</v>
      </c>
      <c r="B518" s="3">
        <v>46376</v>
      </c>
      <c r="C518" s="3" t="s">
        <v>851</v>
      </c>
      <c r="D518" s="2" t="s">
        <v>30</v>
      </c>
      <c r="E518" s="2" t="s">
        <v>372</v>
      </c>
      <c r="F518" s="2" t="s">
        <v>52</v>
      </c>
      <c r="G518" s="2" t="s">
        <v>53</v>
      </c>
      <c r="H518" s="2">
        <v>1</v>
      </c>
      <c r="I518" s="4">
        <v>8500</v>
      </c>
      <c r="J518" s="2" t="s">
        <v>22</v>
      </c>
      <c r="K518" s="2" t="s">
        <v>42</v>
      </c>
      <c r="L518" s="4">
        <f t="shared" si="16"/>
        <v>8500</v>
      </c>
      <c r="M518" t="str">
        <f t="shared" si="17"/>
        <v>Not Counted</v>
      </c>
    </row>
    <row r="519" spans="1:13" x14ac:dyDescent="0.25">
      <c r="A519" s="2" t="s">
        <v>748</v>
      </c>
      <c r="B519" s="3">
        <v>46376</v>
      </c>
      <c r="C519" s="3" t="s">
        <v>851</v>
      </c>
      <c r="D519" s="2" t="s">
        <v>19</v>
      </c>
      <c r="E519" s="2" t="s">
        <v>204</v>
      </c>
      <c r="F519" s="2" t="s">
        <v>95</v>
      </c>
      <c r="G519" s="2" t="s">
        <v>15</v>
      </c>
      <c r="H519" s="2">
        <v>1</v>
      </c>
      <c r="I519" s="4">
        <v>58000</v>
      </c>
      <c r="J519" s="2" t="s">
        <v>22</v>
      </c>
      <c r="K519" s="2" t="s">
        <v>17</v>
      </c>
      <c r="L519" s="4">
        <f t="shared" si="16"/>
        <v>58000</v>
      </c>
      <c r="M519" t="str">
        <f t="shared" si="17"/>
        <v>Counted</v>
      </c>
    </row>
    <row r="520" spans="1:13" x14ac:dyDescent="0.25">
      <c r="A520" s="2" t="s">
        <v>749</v>
      </c>
      <c r="B520" s="3">
        <v>46376</v>
      </c>
      <c r="C520" s="3" t="s">
        <v>851</v>
      </c>
      <c r="D520" s="2" t="s">
        <v>12</v>
      </c>
      <c r="E520" s="2" t="s">
        <v>143</v>
      </c>
      <c r="F520" s="2" t="s">
        <v>62</v>
      </c>
      <c r="G520" s="2" t="s">
        <v>41</v>
      </c>
      <c r="H520" s="2">
        <v>2</v>
      </c>
      <c r="I520" s="4">
        <v>2200</v>
      </c>
      <c r="J520" s="2" t="s">
        <v>92</v>
      </c>
      <c r="K520" s="2" t="s">
        <v>17</v>
      </c>
      <c r="L520" s="4">
        <f t="shared" si="16"/>
        <v>4400</v>
      </c>
      <c r="M520" t="str">
        <f t="shared" si="17"/>
        <v>Counted</v>
      </c>
    </row>
    <row r="521" spans="1:13" x14ac:dyDescent="0.25">
      <c r="A521" s="2" t="s">
        <v>750</v>
      </c>
      <c r="B521" s="3">
        <v>46377</v>
      </c>
      <c r="C521" s="3" t="s">
        <v>851</v>
      </c>
      <c r="D521" s="2" t="s">
        <v>30</v>
      </c>
      <c r="E521" s="2" t="s">
        <v>364</v>
      </c>
      <c r="F521" s="2" t="s">
        <v>68</v>
      </c>
      <c r="G521" s="2" t="s">
        <v>41</v>
      </c>
      <c r="H521" s="2">
        <v>1</v>
      </c>
      <c r="I521" s="4">
        <v>1500</v>
      </c>
      <c r="J521" s="2" t="s">
        <v>16</v>
      </c>
      <c r="K521" s="2" t="s">
        <v>17</v>
      </c>
      <c r="L521" s="4">
        <f t="shared" si="16"/>
        <v>1500</v>
      </c>
      <c r="M521" t="str">
        <f t="shared" si="17"/>
        <v>Counted</v>
      </c>
    </row>
    <row r="522" spans="1:13" x14ac:dyDescent="0.25">
      <c r="A522" s="2" t="s">
        <v>751</v>
      </c>
      <c r="B522" s="3">
        <v>46377</v>
      </c>
      <c r="C522" s="3" t="s">
        <v>851</v>
      </c>
      <c r="D522" s="2" t="s">
        <v>12</v>
      </c>
      <c r="E522" s="2" t="s">
        <v>193</v>
      </c>
      <c r="F522" s="2" t="s">
        <v>26</v>
      </c>
      <c r="G522" s="2" t="s">
        <v>15</v>
      </c>
      <c r="H522" s="2">
        <v>2</v>
      </c>
      <c r="I522" s="4">
        <v>24000</v>
      </c>
      <c r="J522" s="2" t="s">
        <v>37</v>
      </c>
      <c r="K522" s="2" t="s">
        <v>42</v>
      </c>
      <c r="L522" s="4">
        <f t="shared" si="16"/>
        <v>48000</v>
      </c>
      <c r="M522" t="str">
        <f t="shared" si="17"/>
        <v>Not Counted</v>
      </c>
    </row>
    <row r="523" spans="1:13" x14ac:dyDescent="0.25">
      <c r="A523" s="2" t="s">
        <v>752</v>
      </c>
      <c r="B523" s="3">
        <v>46377</v>
      </c>
      <c r="C523" s="3" t="s">
        <v>851</v>
      </c>
      <c r="D523" s="2" t="s">
        <v>19</v>
      </c>
      <c r="E523" s="2" t="s">
        <v>463</v>
      </c>
      <c r="F523" s="2" t="s">
        <v>68</v>
      </c>
      <c r="G523" s="2" t="s">
        <v>41</v>
      </c>
      <c r="H523" s="2">
        <v>1</v>
      </c>
      <c r="I523" s="4">
        <v>1500</v>
      </c>
      <c r="J523" s="2" t="s">
        <v>92</v>
      </c>
      <c r="K523" s="2" t="s">
        <v>17</v>
      </c>
      <c r="L523" s="4">
        <f t="shared" si="16"/>
        <v>1500</v>
      </c>
      <c r="M523" t="str">
        <f t="shared" si="17"/>
        <v>Counted</v>
      </c>
    </row>
    <row r="524" spans="1:13" x14ac:dyDescent="0.25">
      <c r="A524" s="2" t="s">
        <v>753</v>
      </c>
      <c r="B524" s="3">
        <v>46377</v>
      </c>
      <c r="C524" s="3" t="s">
        <v>851</v>
      </c>
      <c r="D524" s="2" t="s">
        <v>19</v>
      </c>
      <c r="E524" s="2" t="s">
        <v>219</v>
      </c>
      <c r="F524" s="2" t="s">
        <v>35</v>
      </c>
      <c r="G524" s="2" t="s">
        <v>36</v>
      </c>
      <c r="H524" s="2">
        <v>1</v>
      </c>
      <c r="I524" s="4">
        <v>12000</v>
      </c>
      <c r="J524" s="2" t="s">
        <v>16</v>
      </c>
      <c r="K524" s="2" t="s">
        <v>42</v>
      </c>
      <c r="L524" s="4">
        <f t="shared" si="16"/>
        <v>12000</v>
      </c>
      <c r="M524" t="str">
        <f t="shared" si="17"/>
        <v>Not Counted</v>
      </c>
    </row>
    <row r="525" spans="1:13" x14ac:dyDescent="0.25">
      <c r="A525" s="2" t="s">
        <v>754</v>
      </c>
      <c r="B525" s="3">
        <v>46377</v>
      </c>
      <c r="C525" s="3" t="s">
        <v>851</v>
      </c>
      <c r="D525" s="2" t="s">
        <v>19</v>
      </c>
      <c r="E525" s="2" t="s">
        <v>558</v>
      </c>
      <c r="F525" s="2" t="s">
        <v>59</v>
      </c>
      <c r="G525" s="2" t="s">
        <v>53</v>
      </c>
      <c r="H525" s="2">
        <v>1</v>
      </c>
      <c r="I525" s="4">
        <v>3800</v>
      </c>
      <c r="J525" s="2" t="s">
        <v>37</v>
      </c>
      <c r="K525" s="2" t="s">
        <v>17</v>
      </c>
      <c r="L525" s="4">
        <f t="shared" si="16"/>
        <v>3800</v>
      </c>
      <c r="M525" t="str">
        <f t="shared" si="17"/>
        <v>Counted</v>
      </c>
    </row>
    <row r="526" spans="1:13" x14ac:dyDescent="0.25">
      <c r="A526" s="2" t="s">
        <v>755</v>
      </c>
      <c r="B526" s="3">
        <v>46377</v>
      </c>
      <c r="C526" s="3" t="s">
        <v>851</v>
      </c>
      <c r="D526" s="2" t="s">
        <v>19</v>
      </c>
      <c r="E526" s="2" t="s">
        <v>653</v>
      </c>
      <c r="F526" s="2" t="s">
        <v>114</v>
      </c>
      <c r="G526" s="2" t="s">
        <v>36</v>
      </c>
      <c r="H526" s="2">
        <v>1</v>
      </c>
      <c r="I526" s="4">
        <v>9500</v>
      </c>
      <c r="J526" s="2" t="s">
        <v>92</v>
      </c>
      <c r="K526" s="2" t="s">
        <v>107</v>
      </c>
      <c r="L526" s="4">
        <f t="shared" si="16"/>
        <v>9500</v>
      </c>
      <c r="M526" t="str">
        <f t="shared" si="17"/>
        <v>Not Counted</v>
      </c>
    </row>
    <row r="527" spans="1:13" x14ac:dyDescent="0.25">
      <c r="A527" s="2" t="s">
        <v>756</v>
      </c>
      <c r="B527" s="3">
        <v>46377</v>
      </c>
      <c r="C527" s="3" t="s">
        <v>851</v>
      </c>
      <c r="D527" s="2" t="s">
        <v>19</v>
      </c>
      <c r="E527" s="2" t="s">
        <v>163</v>
      </c>
      <c r="F527" s="2" t="s">
        <v>73</v>
      </c>
      <c r="G527" s="2" t="s">
        <v>15</v>
      </c>
      <c r="H527" s="2">
        <v>1</v>
      </c>
      <c r="I527" s="4">
        <v>18000</v>
      </c>
      <c r="J527" s="2" t="s">
        <v>37</v>
      </c>
      <c r="K527" s="2" t="s">
        <v>17</v>
      </c>
      <c r="L527" s="4">
        <f t="shared" si="16"/>
        <v>18000</v>
      </c>
      <c r="M527" t="str">
        <f t="shared" si="17"/>
        <v>Counted</v>
      </c>
    </row>
    <row r="528" spans="1:13" x14ac:dyDescent="0.25">
      <c r="A528" s="2" t="s">
        <v>757</v>
      </c>
      <c r="B528" s="3">
        <v>46377</v>
      </c>
      <c r="C528" s="3" t="s">
        <v>851</v>
      </c>
      <c r="D528" s="2" t="s">
        <v>12</v>
      </c>
      <c r="E528" s="2" t="s">
        <v>435</v>
      </c>
      <c r="F528" s="2" t="s">
        <v>68</v>
      </c>
      <c r="G528" s="2" t="s">
        <v>41</v>
      </c>
      <c r="H528" s="2">
        <v>1</v>
      </c>
      <c r="I528" s="4">
        <v>1500</v>
      </c>
      <c r="J528" s="2" t="s">
        <v>16</v>
      </c>
      <c r="K528" s="2" t="s">
        <v>42</v>
      </c>
      <c r="L528" s="4">
        <f t="shared" si="16"/>
        <v>1500</v>
      </c>
      <c r="M528" t="str">
        <f t="shared" si="17"/>
        <v>Not Counted</v>
      </c>
    </row>
    <row r="529" spans="1:13" x14ac:dyDescent="0.25">
      <c r="A529" s="2" t="s">
        <v>758</v>
      </c>
      <c r="B529" s="3">
        <v>46378</v>
      </c>
      <c r="C529" s="3" t="s">
        <v>851</v>
      </c>
      <c r="D529" s="2" t="s">
        <v>24</v>
      </c>
      <c r="E529" s="2" t="s">
        <v>704</v>
      </c>
      <c r="F529" s="2" t="s">
        <v>68</v>
      </c>
      <c r="G529" s="2" t="s">
        <v>41</v>
      </c>
      <c r="H529" s="2">
        <v>2</v>
      </c>
      <c r="I529" s="4">
        <v>1500</v>
      </c>
      <c r="J529" s="2" t="s">
        <v>16</v>
      </c>
      <c r="K529" s="2" t="s">
        <v>17</v>
      </c>
      <c r="L529" s="4">
        <f t="shared" si="16"/>
        <v>3000</v>
      </c>
      <c r="M529" t="str">
        <f t="shared" si="17"/>
        <v>Counted</v>
      </c>
    </row>
    <row r="530" spans="1:13" x14ac:dyDescent="0.25">
      <c r="A530" s="2" t="s">
        <v>759</v>
      </c>
      <c r="B530" s="3">
        <v>46378</v>
      </c>
      <c r="C530" s="3" t="s">
        <v>851</v>
      </c>
      <c r="D530" s="2" t="s">
        <v>19</v>
      </c>
      <c r="E530" s="2" t="s">
        <v>479</v>
      </c>
      <c r="F530" s="2" t="s">
        <v>114</v>
      </c>
      <c r="G530" s="2" t="s">
        <v>36</v>
      </c>
      <c r="H530" s="2">
        <v>2</v>
      </c>
      <c r="I530" s="4">
        <v>9500</v>
      </c>
      <c r="J530" s="2" t="s">
        <v>27</v>
      </c>
      <c r="K530" s="2" t="s">
        <v>17</v>
      </c>
      <c r="L530" s="4">
        <f t="shared" si="16"/>
        <v>19000</v>
      </c>
      <c r="M530" t="str">
        <f t="shared" si="17"/>
        <v>Counted</v>
      </c>
    </row>
    <row r="531" spans="1:13" x14ac:dyDescent="0.25">
      <c r="A531" s="2" t="s">
        <v>760</v>
      </c>
      <c r="B531" s="3">
        <v>46378</v>
      </c>
      <c r="C531" s="3" t="s">
        <v>851</v>
      </c>
      <c r="D531" s="2" t="s">
        <v>30</v>
      </c>
      <c r="E531" s="2" t="s">
        <v>355</v>
      </c>
      <c r="F531" s="2" t="s">
        <v>117</v>
      </c>
      <c r="G531" s="2" t="s">
        <v>46</v>
      </c>
      <c r="H531" s="2">
        <v>1</v>
      </c>
      <c r="I531" s="4">
        <v>2800</v>
      </c>
      <c r="J531" s="2" t="s">
        <v>37</v>
      </c>
      <c r="K531" s="2" t="s">
        <v>17</v>
      </c>
      <c r="L531" s="4">
        <f t="shared" si="16"/>
        <v>2800</v>
      </c>
      <c r="M531" t="str">
        <f t="shared" si="17"/>
        <v>Counted</v>
      </c>
    </row>
    <row r="532" spans="1:13" x14ac:dyDescent="0.25">
      <c r="A532" s="2" t="s">
        <v>761</v>
      </c>
      <c r="B532" s="3">
        <v>46379</v>
      </c>
      <c r="C532" s="3" t="s">
        <v>851</v>
      </c>
      <c r="D532" s="2" t="s">
        <v>24</v>
      </c>
      <c r="E532" s="2" t="s">
        <v>406</v>
      </c>
      <c r="F532" s="2" t="s">
        <v>62</v>
      </c>
      <c r="G532" s="2" t="s">
        <v>41</v>
      </c>
      <c r="H532" s="2">
        <v>1</v>
      </c>
      <c r="I532" s="4">
        <v>2200</v>
      </c>
      <c r="J532" s="2" t="s">
        <v>22</v>
      </c>
      <c r="K532" s="2" t="s">
        <v>17</v>
      </c>
      <c r="L532" s="4">
        <f t="shared" si="16"/>
        <v>2200</v>
      </c>
      <c r="M532" t="str">
        <f t="shared" si="17"/>
        <v>Counted</v>
      </c>
    </row>
    <row r="533" spans="1:13" x14ac:dyDescent="0.25">
      <c r="A533" s="2" t="s">
        <v>762</v>
      </c>
      <c r="B533" s="3">
        <v>46379</v>
      </c>
      <c r="C533" s="3" t="s">
        <v>851</v>
      </c>
      <c r="D533" s="2" t="s">
        <v>12</v>
      </c>
      <c r="E533" s="2" t="s">
        <v>327</v>
      </c>
      <c r="F533" s="2" t="s">
        <v>62</v>
      </c>
      <c r="G533" s="2" t="s">
        <v>41</v>
      </c>
      <c r="H533" s="2">
        <v>1</v>
      </c>
      <c r="I533" s="4">
        <v>2200</v>
      </c>
      <c r="J533" s="2" t="s">
        <v>22</v>
      </c>
      <c r="K533" s="2" t="s">
        <v>17</v>
      </c>
      <c r="L533" s="4">
        <f t="shared" si="16"/>
        <v>2200</v>
      </c>
      <c r="M533" t="str">
        <f t="shared" si="17"/>
        <v>Counted</v>
      </c>
    </row>
    <row r="534" spans="1:13" x14ac:dyDescent="0.25">
      <c r="A534" s="2" t="s">
        <v>763</v>
      </c>
      <c r="B534" s="3">
        <v>46379</v>
      </c>
      <c r="C534" s="3" t="s">
        <v>851</v>
      </c>
      <c r="D534" s="2" t="s">
        <v>19</v>
      </c>
      <c r="E534" s="2" t="s">
        <v>651</v>
      </c>
      <c r="F534" s="2" t="s">
        <v>87</v>
      </c>
      <c r="G534" s="2" t="s">
        <v>46</v>
      </c>
      <c r="H534" s="2">
        <v>1</v>
      </c>
      <c r="I534" s="4">
        <v>1600</v>
      </c>
      <c r="J534" s="2" t="s">
        <v>16</v>
      </c>
      <c r="K534" s="2" t="s">
        <v>17</v>
      </c>
      <c r="L534" s="4">
        <f t="shared" si="16"/>
        <v>1600</v>
      </c>
      <c r="M534" t="str">
        <f t="shared" si="17"/>
        <v>Counted</v>
      </c>
    </row>
    <row r="535" spans="1:13" x14ac:dyDescent="0.25">
      <c r="A535" s="2" t="s">
        <v>764</v>
      </c>
      <c r="B535" s="3">
        <v>46379</v>
      </c>
      <c r="C535" s="3" t="s">
        <v>851</v>
      </c>
      <c r="D535" s="2" t="s">
        <v>12</v>
      </c>
      <c r="E535" s="2" t="s">
        <v>765</v>
      </c>
      <c r="F535" s="2" t="s">
        <v>35</v>
      </c>
      <c r="G535" s="2" t="s">
        <v>36</v>
      </c>
      <c r="H535" s="2">
        <v>1</v>
      </c>
      <c r="I535" s="4">
        <v>12000</v>
      </c>
      <c r="J535" s="2" t="s">
        <v>22</v>
      </c>
      <c r="K535" s="2" t="s">
        <v>17</v>
      </c>
      <c r="L535" s="4">
        <f t="shared" si="16"/>
        <v>12000</v>
      </c>
      <c r="M535" t="str">
        <f t="shared" si="17"/>
        <v>Counted</v>
      </c>
    </row>
    <row r="536" spans="1:13" x14ac:dyDescent="0.25">
      <c r="A536" s="2" t="s">
        <v>766</v>
      </c>
      <c r="B536" s="3">
        <v>46379</v>
      </c>
      <c r="C536" s="3" t="s">
        <v>851</v>
      </c>
      <c r="D536" s="2" t="s">
        <v>30</v>
      </c>
      <c r="E536" s="2" t="s">
        <v>86</v>
      </c>
      <c r="F536" s="2" t="s">
        <v>117</v>
      </c>
      <c r="G536" s="2" t="s">
        <v>46</v>
      </c>
      <c r="H536" s="2">
        <v>2</v>
      </c>
      <c r="I536" s="4">
        <v>2800</v>
      </c>
      <c r="J536" s="2" t="s">
        <v>92</v>
      </c>
      <c r="K536" s="2" t="s">
        <v>17</v>
      </c>
      <c r="L536" s="4">
        <f t="shared" si="16"/>
        <v>5600</v>
      </c>
      <c r="M536" t="str">
        <f t="shared" si="17"/>
        <v>Counted</v>
      </c>
    </row>
    <row r="537" spans="1:13" x14ac:dyDescent="0.25">
      <c r="A537" s="2" t="s">
        <v>767</v>
      </c>
      <c r="B537" s="3">
        <v>46379</v>
      </c>
      <c r="C537" s="3" t="s">
        <v>851</v>
      </c>
      <c r="D537" s="2" t="s">
        <v>12</v>
      </c>
      <c r="E537" s="2" t="s">
        <v>55</v>
      </c>
      <c r="F537" s="2" t="s">
        <v>35</v>
      </c>
      <c r="G537" s="2" t="s">
        <v>36</v>
      </c>
      <c r="H537" s="2">
        <v>1</v>
      </c>
      <c r="I537" s="4">
        <v>12000</v>
      </c>
      <c r="J537" s="2" t="s">
        <v>37</v>
      </c>
      <c r="K537" s="2" t="s">
        <v>28</v>
      </c>
      <c r="L537" s="4">
        <f t="shared" si="16"/>
        <v>12000</v>
      </c>
      <c r="M537" t="str">
        <f t="shared" si="17"/>
        <v>Counted</v>
      </c>
    </row>
    <row r="538" spans="1:13" x14ac:dyDescent="0.25">
      <c r="A538" s="2" t="s">
        <v>768</v>
      </c>
      <c r="B538" s="3">
        <v>46380</v>
      </c>
      <c r="C538" s="3" t="s">
        <v>851</v>
      </c>
      <c r="D538" s="2" t="s">
        <v>30</v>
      </c>
      <c r="E538" s="2" t="s">
        <v>769</v>
      </c>
      <c r="F538" s="2" t="s">
        <v>191</v>
      </c>
      <c r="G538" s="2" t="s">
        <v>41</v>
      </c>
      <c r="H538" s="2">
        <v>2</v>
      </c>
      <c r="I538" s="4">
        <v>1800</v>
      </c>
      <c r="J538" s="2" t="s">
        <v>27</v>
      </c>
      <c r="K538" s="2" t="s">
        <v>17</v>
      </c>
      <c r="L538" s="4">
        <f t="shared" si="16"/>
        <v>3600</v>
      </c>
      <c r="M538" t="str">
        <f t="shared" si="17"/>
        <v>Counted</v>
      </c>
    </row>
    <row r="539" spans="1:13" x14ac:dyDescent="0.25">
      <c r="A539" s="2" t="s">
        <v>770</v>
      </c>
      <c r="B539" s="3">
        <v>46380</v>
      </c>
      <c r="C539" s="3" t="s">
        <v>851</v>
      </c>
      <c r="D539" s="2" t="s">
        <v>24</v>
      </c>
      <c r="E539" s="2" t="s">
        <v>72</v>
      </c>
      <c r="F539" s="2" t="s">
        <v>87</v>
      </c>
      <c r="G539" s="2" t="s">
        <v>46</v>
      </c>
      <c r="H539" s="2">
        <v>2</v>
      </c>
      <c r="I539" s="4">
        <v>1600</v>
      </c>
      <c r="J539" s="2" t="s">
        <v>37</v>
      </c>
      <c r="K539" s="2" t="s">
        <v>17</v>
      </c>
      <c r="L539" s="4">
        <f t="shared" si="16"/>
        <v>3200</v>
      </c>
      <c r="M539" t="str">
        <f t="shared" si="17"/>
        <v>Counted</v>
      </c>
    </row>
    <row r="540" spans="1:13" x14ac:dyDescent="0.25">
      <c r="A540" s="2" t="s">
        <v>771</v>
      </c>
      <c r="B540" s="3">
        <v>46380</v>
      </c>
      <c r="C540" s="3" t="s">
        <v>851</v>
      </c>
      <c r="D540" s="2" t="s">
        <v>24</v>
      </c>
      <c r="E540" s="2" t="s">
        <v>772</v>
      </c>
      <c r="F540" s="2" t="s">
        <v>68</v>
      </c>
      <c r="G540" s="2" t="s">
        <v>41</v>
      </c>
      <c r="H540" s="2">
        <v>2</v>
      </c>
      <c r="I540" s="4">
        <v>1500</v>
      </c>
      <c r="J540" s="2" t="s">
        <v>22</v>
      </c>
      <c r="K540" s="2" t="s">
        <v>17</v>
      </c>
      <c r="L540" s="4">
        <f t="shared" si="16"/>
        <v>3000</v>
      </c>
      <c r="M540" t="str">
        <f t="shared" si="17"/>
        <v>Counted</v>
      </c>
    </row>
    <row r="541" spans="1:13" x14ac:dyDescent="0.25">
      <c r="A541" s="2" t="s">
        <v>773</v>
      </c>
      <c r="B541" s="3">
        <v>46380</v>
      </c>
      <c r="C541" s="3" t="s">
        <v>851</v>
      </c>
      <c r="D541" s="2" t="s">
        <v>19</v>
      </c>
      <c r="E541" s="2" t="s">
        <v>580</v>
      </c>
      <c r="F541" s="2" t="s">
        <v>52</v>
      </c>
      <c r="G541" s="2" t="s">
        <v>53</v>
      </c>
      <c r="H541" s="2">
        <v>1</v>
      </c>
      <c r="I541" s="4">
        <v>8500</v>
      </c>
      <c r="J541" s="2" t="s">
        <v>22</v>
      </c>
      <c r="K541" s="2" t="s">
        <v>17</v>
      </c>
      <c r="L541" s="4">
        <f t="shared" si="16"/>
        <v>8500</v>
      </c>
      <c r="M541" t="str">
        <f t="shared" si="17"/>
        <v>Counted</v>
      </c>
    </row>
    <row r="542" spans="1:13" x14ac:dyDescent="0.25">
      <c r="A542" s="2" t="s">
        <v>774</v>
      </c>
      <c r="B542" s="3">
        <v>46380</v>
      </c>
      <c r="C542" s="3" t="s">
        <v>851</v>
      </c>
      <c r="D542" s="2" t="s">
        <v>24</v>
      </c>
      <c r="E542" s="2" t="s">
        <v>468</v>
      </c>
      <c r="F542" s="2" t="s">
        <v>52</v>
      </c>
      <c r="G542" s="2" t="s">
        <v>53</v>
      </c>
      <c r="H542" s="2">
        <v>3</v>
      </c>
      <c r="I542" s="4">
        <v>8500</v>
      </c>
      <c r="J542" s="2" t="s">
        <v>92</v>
      </c>
      <c r="K542" s="2" t="s">
        <v>17</v>
      </c>
      <c r="L542" s="4">
        <f t="shared" si="16"/>
        <v>25500</v>
      </c>
      <c r="M542" t="str">
        <f t="shared" si="17"/>
        <v>Counted</v>
      </c>
    </row>
    <row r="543" spans="1:13" x14ac:dyDescent="0.25">
      <c r="A543" s="2" t="s">
        <v>775</v>
      </c>
      <c r="B543" s="3">
        <v>46381</v>
      </c>
      <c r="C543" s="3" t="s">
        <v>851</v>
      </c>
      <c r="D543" s="2" t="s">
        <v>19</v>
      </c>
      <c r="E543" s="2" t="s">
        <v>339</v>
      </c>
      <c r="F543" s="2" t="s">
        <v>114</v>
      </c>
      <c r="G543" s="2" t="s">
        <v>36</v>
      </c>
      <c r="H543" s="2">
        <v>1</v>
      </c>
      <c r="I543" s="4">
        <v>9500</v>
      </c>
      <c r="J543" s="2" t="s">
        <v>22</v>
      </c>
      <c r="K543" s="2" t="s">
        <v>17</v>
      </c>
      <c r="L543" s="4">
        <f t="shared" si="16"/>
        <v>9500</v>
      </c>
      <c r="M543" t="str">
        <f t="shared" si="17"/>
        <v>Counted</v>
      </c>
    </row>
    <row r="544" spans="1:13" x14ac:dyDescent="0.25">
      <c r="A544" s="2" t="s">
        <v>776</v>
      </c>
      <c r="B544" s="3">
        <v>46381</v>
      </c>
      <c r="C544" s="3" t="s">
        <v>851</v>
      </c>
      <c r="D544" s="2" t="s">
        <v>24</v>
      </c>
      <c r="E544" s="2" t="s">
        <v>466</v>
      </c>
      <c r="F544" s="2" t="s">
        <v>65</v>
      </c>
      <c r="G544" s="2" t="s">
        <v>36</v>
      </c>
      <c r="H544" s="2">
        <v>1</v>
      </c>
      <c r="I544" s="4">
        <v>28000</v>
      </c>
      <c r="J544" s="2" t="s">
        <v>92</v>
      </c>
      <c r="K544" s="2" t="s">
        <v>42</v>
      </c>
      <c r="L544" s="4">
        <f t="shared" si="16"/>
        <v>28000</v>
      </c>
      <c r="M544" t="str">
        <f t="shared" si="17"/>
        <v>Not Counted</v>
      </c>
    </row>
    <row r="545" spans="1:13" x14ac:dyDescent="0.25">
      <c r="A545" s="2" t="s">
        <v>777</v>
      </c>
      <c r="B545" s="3">
        <v>46381</v>
      </c>
      <c r="C545" s="3" t="s">
        <v>851</v>
      </c>
      <c r="D545" s="2" t="s">
        <v>30</v>
      </c>
      <c r="E545" s="2" t="s">
        <v>704</v>
      </c>
      <c r="F545" s="2" t="s">
        <v>114</v>
      </c>
      <c r="G545" s="2" t="s">
        <v>36</v>
      </c>
      <c r="H545" s="2">
        <v>1</v>
      </c>
      <c r="I545" s="4">
        <v>9500</v>
      </c>
      <c r="J545" s="2" t="s">
        <v>27</v>
      </c>
      <c r="K545" s="2" t="s">
        <v>28</v>
      </c>
      <c r="L545" s="4">
        <f t="shared" si="16"/>
        <v>9500</v>
      </c>
      <c r="M545" t="str">
        <f t="shared" si="17"/>
        <v>Counted</v>
      </c>
    </row>
    <row r="546" spans="1:13" x14ac:dyDescent="0.25">
      <c r="A546" s="2" t="s">
        <v>778</v>
      </c>
      <c r="B546" s="3">
        <v>46381</v>
      </c>
      <c r="C546" s="3" t="s">
        <v>851</v>
      </c>
      <c r="D546" s="2" t="s">
        <v>24</v>
      </c>
      <c r="E546" s="2" t="s">
        <v>327</v>
      </c>
      <c r="F546" s="2" t="s">
        <v>87</v>
      </c>
      <c r="G546" s="2" t="s">
        <v>46</v>
      </c>
      <c r="H546" s="2">
        <v>1</v>
      </c>
      <c r="I546" s="4">
        <v>1600</v>
      </c>
      <c r="J546" s="2" t="s">
        <v>22</v>
      </c>
      <c r="K546" s="2" t="s">
        <v>17</v>
      </c>
      <c r="L546" s="4">
        <f t="shared" si="16"/>
        <v>1600</v>
      </c>
      <c r="M546" t="str">
        <f t="shared" si="17"/>
        <v>Counted</v>
      </c>
    </row>
    <row r="547" spans="1:13" x14ac:dyDescent="0.25">
      <c r="A547" s="2" t="s">
        <v>779</v>
      </c>
      <c r="B547" s="3">
        <v>46381</v>
      </c>
      <c r="C547" s="3" t="s">
        <v>851</v>
      </c>
      <c r="D547" s="2" t="s">
        <v>24</v>
      </c>
      <c r="E547" s="2" t="s">
        <v>780</v>
      </c>
      <c r="F547" s="2" t="s">
        <v>191</v>
      </c>
      <c r="G547" s="2" t="s">
        <v>41</v>
      </c>
      <c r="H547" s="2">
        <v>3</v>
      </c>
      <c r="I547" s="4">
        <v>1800</v>
      </c>
      <c r="J547" s="2" t="s">
        <v>16</v>
      </c>
      <c r="K547" s="2" t="s">
        <v>28</v>
      </c>
      <c r="L547" s="4">
        <f t="shared" si="16"/>
        <v>5400</v>
      </c>
      <c r="M547" t="str">
        <f t="shared" si="17"/>
        <v>Counted</v>
      </c>
    </row>
    <row r="548" spans="1:13" x14ac:dyDescent="0.25">
      <c r="A548" s="2" t="s">
        <v>781</v>
      </c>
      <c r="B548" s="3">
        <v>46381</v>
      </c>
      <c r="C548" s="3" t="s">
        <v>851</v>
      </c>
      <c r="D548" s="2" t="s">
        <v>30</v>
      </c>
      <c r="E548" s="2" t="s">
        <v>429</v>
      </c>
      <c r="F548" s="2" t="s">
        <v>117</v>
      </c>
      <c r="G548" s="2" t="s">
        <v>46</v>
      </c>
      <c r="H548" s="2">
        <v>2</v>
      </c>
      <c r="I548" s="4">
        <v>2800</v>
      </c>
      <c r="J548" s="2" t="s">
        <v>27</v>
      </c>
      <c r="K548" s="2" t="s">
        <v>17</v>
      </c>
      <c r="L548" s="4">
        <f t="shared" si="16"/>
        <v>5600</v>
      </c>
      <c r="M548" t="str">
        <f t="shared" si="17"/>
        <v>Counted</v>
      </c>
    </row>
    <row r="549" spans="1:13" x14ac:dyDescent="0.25">
      <c r="A549" s="2" t="s">
        <v>782</v>
      </c>
      <c r="B549" s="3">
        <v>46381</v>
      </c>
      <c r="C549" s="3" t="s">
        <v>851</v>
      </c>
      <c r="D549" s="2" t="s">
        <v>19</v>
      </c>
      <c r="E549" s="2" t="s">
        <v>106</v>
      </c>
      <c r="F549" s="2" t="s">
        <v>49</v>
      </c>
      <c r="G549" s="2" t="s">
        <v>46</v>
      </c>
      <c r="H549" s="2">
        <v>1</v>
      </c>
      <c r="I549" s="4">
        <v>5000</v>
      </c>
      <c r="J549" s="2" t="s">
        <v>16</v>
      </c>
      <c r="K549" s="2" t="s">
        <v>17</v>
      </c>
      <c r="L549" s="4">
        <f t="shared" si="16"/>
        <v>5000</v>
      </c>
      <c r="M549" t="str">
        <f t="shared" si="17"/>
        <v>Counted</v>
      </c>
    </row>
    <row r="550" spans="1:13" x14ac:dyDescent="0.25">
      <c r="A550" s="2" t="s">
        <v>783</v>
      </c>
      <c r="B550" s="3">
        <v>46381</v>
      </c>
      <c r="C550" s="3" t="s">
        <v>851</v>
      </c>
      <c r="D550" s="2" t="s">
        <v>30</v>
      </c>
      <c r="E550" s="2" t="s">
        <v>139</v>
      </c>
      <c r="F550" s="2" t="s">
        <v>133</v>
      </c>
      <c r="G550" s="2" t="s">
        <v>15</v>
      </c>
      <c r="H550" s="2">
        <v>2</v>
      </c>
      <c r="I550" s="4">
        <v>1800</v>
      </c>
      <c r="J550" s="2" t="s">
        <v>22</v>
      </c>
      <c r="K550" s="2" t="s">
        <v>17</v>
      </c>
      <c r="L550" s="4">
        <f t="shared" si="16"/>
        <v>3600</v>
      </c>
      <c r="M550" t="str">
        <f t="shared" si="17"/>
        <v>Counted</v>
      </c>
    </row>
    <row r="551" spans="1:13" x14ac:dyDescent="0.25">
      <c r="A551" s="2" t="s">
        <v>784</v>
      </c>
      <c r="B551" s="3">
        <v>46381</v>
      </c>
      <c r="C551" s="3" t="s">
        <v>851</v>
      </c>
      <c r="D551" s="2" t="s">
        <v>30</v>
      </c>
      <c r="E551" s="2" t="s">
        <v>327</v>
      </c>
      <c r="F551" s="2" t="s">
        <v>35</v>
      </c>
      <c r="G551" s="2" t="s">
        <v>36</v>
      </c>
      <c r="H551" s="2">
        <v>1</v>
      </c>
      <c r="I551" s="4">
        <v>12000</v>
      </c>
      <c r="J551" s="2" t="s">
        <v>37</v>
      </c>
      <c r="K551" s="2" t="s">
        <v>17</v>
      </c>
      <c r="L551" s="4">
        <f t="shared" si="16"/>
        <v>12000</v>
      </c>
      <c r="M551" t="str">
        <f t="shared" si="17"/>
        <v>Counted</v>
      </c>
    </row>
    <row r="552" spans="1:13" x14ac:dyDescent="0.25">
      <c r="A552" s="2" t="s">
        <v>785</v>
      </c>
      <c r="B552" s="3">
        <v>46382</v>
      </c>
      <c r="C552" s="3" t="s">
        <v>851</v>
      </c>
      <c r="D552" s="2" t="s">
        <v>24</v>
      </c>
      <c r="E552" s="2" t="s">
        <v>780</v>
      </c>
      <c r="F552" s="2" t="s">
        <v>73</v>
      </c>
      <c r="G552" s="2" t="s">
        <v>15</v>
      </c>
      <c r="H552" s="2">
        <v>1</v>
      </c>
      <c r="I552" s="4">
        <v>18000</v>
      </c>
      <c r="J552" s="2" t="s">
        <v>27</v>
      </c>
      <c r="K552" s="2" t="s">
        <v>17</v>
      </c>
      <c r="L552" s="4">
        <f t="shared" si="16"/>
        <v>18000</v>
      </c>
      <c r="M552" t="str">
        <f t="shared" si="17"/>
        <v>Counted</v>
      </c>
    </row>
    <row r="553" spans="1:13" x14ac:dyDescent="0.25">
      <c r="A553" s="2" t="s">
        <v>786</v>
      </c>
      <c r="B553" s="3">
        <v>46382</v>
      </c>
      <c r="C553" s="3" t="s">
        <v>851</v>
      </c>
      <c r="D553" s="2" t="s">
        <v>19</v>
      </c>
      <c r="E553" s="2" t="s">
        <v>161</v>
      </c>
      <c r="F553" s="2" t="s">
        <v>35</v>
      </c>
      <c r="G553" s="2" t="s">
        <v>36</v>
      </c>
      <c r="H553" s="2">
        <v>1</v>
      </c>
      <c r="I553" s="4">
        <v>12000</v>
      </c>
      <c r="J553" s="2" t="s">
        <v>16</v>
      </c>
      <c r="K553" s="2" t="s">
        <v>42</v>
      </c>
      <c r="L553" s="4">
        <f t="shared" si="16"/>
        <v>12000</v>
      </c>
      <c r="M553" t="str">
        <f t="shared" si="17"/>
        <v>Not Counted</v>
      </c>
    </row>
    <row r="554" spans="1:13" x14ac:dyDescent="0.25">
      <c r="A554" s="2" t="s">
        <v>787</v>
      </c>
      <c r="B554" s="3">
        <v>46382</v>
      </c>
      <c r="C554" s="3" t="s">
        <v>851</v>
      </c>
      <c r="D554" s="2" t="s">
        <v>12</v>
      </c>
      <c r="E554" s="2" t="s">
        <v>186</v>
      </c>
      <c r="F554" s="2" t="s">
        <v>117</v>
      </c>
      <c r="G554" s="2" t="s">
        <v>46</v>
      </c>
      <c r="H554" s="2">
        <v>1</v>
      </c>
      <c r="I554" s="4">
        <v>2800</v>
      </c>
      <c r="J554" s="2" t="s">
        <v>37</v>
      </c>
      <c r="K554" s="2" t="s">
        <v>17</v>
      </c>
      <c r="L554" s="4">
        <f t="shared" si="16"/>
        <v>2800</v>
      </c>
      <c r="M554" t="str">
        <f t="shared" si="17"/>
        <v>Counted</v>
      </c>
    </row>
    <row r="555" spans="1:13" x14ac:dyDescent="0.25">
      <c r="A555" s="2" t="s">
        <v>788</v>
      </c>
      <c r="B555" s="3">
        <v>46382</v>
      </c>
      <c r="C555" s="3" t="s">
        <v>851</v>
      </c>
      <c r="D555" s="2" t="s">
        <v>24</v>
      </c>
      <c r="E555" s="2" t="s">
        <v>454</v>
      </c>
      <c r="F555" s="2" t="s">
        <v>52</v>
      </c>
      <c r="G555" s="2" t="s">
        <v>53</v>
      </c>
      <c r="H555" s="2">
        <v>1</v>
      </c>
      <c r="I555" s="4">
        <v>8500</v>
      </c>
      <c r="J555" s="2" t="s">
        <v>22</v>
      </c>
      <c r="K555" s="2" t="s">
        <v>42</v>
      </c>
      <c r="L555" s="4">
        <f t="shared" si="16"/>
        <v>8500</v>
      </c>
      <c r="M555" t="str">
        <f t="shared" si="17"/>
        <v>Not Counted</v>
      </c>
    </row>
    <row r="556" spans="1:13" x14ac:dyDescent="0.25">
      <c r="A556" s="2" t="s">
        <v>789</v>
      </c>
      <c r="B556" s="3">
        <v>46382</v>
      </c>
      <c r="C556" s="3" t="s">
        <v>851</v>
      </c>
      <c r="D556" s="2" t="s">
        <v>24</v>
      </c>
      <c r="E556" s="2" t="s">
        <v>790</v>
      </c>
      <c r="F556" s="2" t="s">
        <v>32</v>
      </c>
      <c r="G556" s="2" t="s">
        <v>15</v>
      </c>
      <c r="H556" s="2">
        <v>2</v>
      </c>
      <c r="I556" s="4">
        <v>52000</v>
      </c>
      <c r="J556" s="2" t="s">
        <v>37</v>
      </c>
      <c r="K556" s="2" t="s">
        <v>42</v>
      </c>
      <c r="L556" s="4">
        <f t="shared" si="16"/>
        <v>104000</v>
      </c>
      <c r="M556" t="str">
        <f t="shared" si="17"/>
        <v>Not Counted</v>
      </c>
    </row>
    <row r="557" spans="1:13" x14ac:dyDescent="0.25">
      <c r="A557" s="2" t="s">
        <v>791</v>
      </c>
      <c r="B557" s="3">
        <v>46382</v>
      </c>
      <c r="C557" s="3" t="s">
        <v>851</v>
      </c>
      <c r="D557" s="2" t="s">
        <v>30</v>
      </c>
      <c r="E557" s="2" t="s">
        <v>55</v>
      </c>
      <c r="F557" s="2" t="s">
        <v>62</v>
      </c>
      <c r="G557" s="2" t="s">
        <v>41</v>
      </c>
      <c r="H557" s="2">
        <v>1</v>
      </c>
      <c r="I557" s="4">
        <v>2200</v>
      </c>
      <c r="J557" s="2" t="s">
        <v>22</v>
      </c>
      <c r="K557" s="2" t="s">
        <v>17</v>
      </c>
      <c r="L557" s="4">
        <f t="shared" si="16"/>
        <v>2200</v>
      </c>
      <c r="M557" t="str">
        <f t="shared" si="17"/>
        <v>Counted</v>
      </c>
    </row>
    <row r="558" spans="1:13" x14ac:dyDescent="0.25">
      <c r="A558" s="2" t="s">
        <v>792</v>
      </c>
      <c r="B558" s="3">
        <v>46383</v>
      </c>
      <c r="C558" s="3" t="s">
        <v>851</v>
      </c>
      <c r="D558" s="2" t="s">
        <v>12</v>
      </c>
      <c r="E558" s="2" t="s">
        <v>20</v>
      </c>
      <c r="F558" s="2" t="s">
        <v>133</v>
      </c>
      <c r="G558" s="2" t="s">
        <v>15</v>
      </c>
      <c r="H558" s="2">
        <v>1</v>
      </c>
      <c r="I558" s="4">
        <v>1800</v>
      </c>
      <c r="J558" s="2" t="s">
        <v>16</v>
      </c>
      <c r="K558" s="2" t="s">
        <v>17</v>
      </c>
      <c r="L558" s="4">
        <f t="shared" si="16"/>
        <v>1800</v>
      </c>
      <c r="M558" t="str">
        <f t="shared" si="17"/>
        <v>Counted</v>
      </c>
    </row>
    <row r="559" spans="1:13" x14ac:dyDescent="0.25">
      <c r="A559" s="2" t="s">
        <v>793</v>
      </c>
      <c r="B559" s="3">
        <v>46383</v>
      </c>
      <c r="C559" s="3" t="s">
        <v>851</v>
      </c>
      <c r="D559" s="2" t="s">
        <v>30</v>
      </c>
      <c r="E559" s="2" t="s">
        <v>794</v>
      </c>
      <c r="F559" s="2" t="s">
        <v>84</v>
      </c>
      <c r="G559" s="2" t="s">
        <v>53</v>
      </c>
      <c r="H559" s="2">
        <v>1</v>
      </c>
      <c r="I559" s="4">
        <v>22000</v>
      </c>
      <c r="J559" s="2" t="s">
        <v>27</v>
      </c>
      <c r="K559" s="2" t="s">
        <v>28</v>
      </c>
      <c r="L559" s="4">
        <f t="shared" si="16"/>
        <v>22000</v>
      </c>
      <c r="M559" t="str">
        <f t="shared" si="17"/>
        <v>Counted</v>
      </c>
    </row>
    <row r="560" spans="1:13" x14ac:dyDescent="0.25">
      <c r="A560" s="2" t="s">
        <v>795</v>
      </c>
      <c r="B560" s="3">
        <v>46383</v>
      </c>
      <c r="C560" s="3" t="s">
        <v>851</v>
      </c>
      <c r="D560" s="2" t="s">
        <v>19</v>
      </c>
      <c r="E560" s="2" t="s">
        <v>620</v>
      </c>
      <c r="F560" s="2" t="s">
        <v>32</v>
      </c>
      <c r="G560" s="2" t="s">
        <v>15</v>
      </c>
      <c r="H560" s="2">
        <v>1</v>
      </c>
      <c r="I560" s="4">
        <v>52000</v>
      </c>
      <c r="J560" s="2" t="s">
        <v>16</v>
      </c>
      <c r="K560" s="2" t="s">
        <v>17</v>
      </c>
      <c r="L560" s="4">
        <f t="shared" si="16"/>
        <v>52000</v>
      </c>
      <c r="M560" t="str">
        <f t="shared" si="17"/>
        <v>Counted</v>
      </c>
    </row>
    <row r="561" spans="1:13" x14ac:dyDescent="0.25">
      <c r="A561" s="2" t="s">
        <v>796</v>
      </c>
      <c r="B561" s="3">
        <v>46383</v>
      </c>
      <c r="C561" s="3" t="s">
        <v>851</v>
      </c>
      <c r="D561" s="2" t="s">
        <v>30</v>
      </c>
      <c r="E561" s="2" t="s">
        <v>672</v>
      </c>
      <c r="F561" s="2" t="s">
        <v>14</v>
      </c>
      <c r="G561" s="2" t="s">
        <v>15</v>
      </c>
      <c r="H561" s="2">
        <v>1</v>
      </c>
      <c r="I561" s="4">
        <v>65000</v>
      </c>
      <c r="J561" s="2" t="s">
        <v>16</v>
      </c>
      <c r="K561" s="2" t="s">
        <v>17</v>
      </c>
      <c r="L561" s="4">
        <f t="shared" si="16"/>
        <v>65000</v>
      </c>
      <c r="M561" t="str">
        <f t="shared" si="17"/>
        <v>Counted</v>
      </c>
    </row>
    <row r="562" spans="1:13" x14ac:dyDescent="0.25">
      <c r="A562" s="2" t="s">
        <v>797</v>
      </c>
      <c r="B562" s="3">
        <v>46383</v>
      </c>
      <c r="C562" s="3" t="s">
        <v>851</v>
      </c>
      <c r="D562" s="2" t="s">
        <v>30</v>
      </c>
      <c r="E562" s="2" t="s">
        <v>34</v>
      </c>
      <c r="F562" s="2" t="s">
        <v>65</v>
      </c>
      <c r="G562" s="2" t="s">
        <v>36</v>
      </c>
      <c r="H562" s="2">
        <v>1</v>
      </c>
      <c r="I562" s="4">
        <v>28000</v>
      </c>
      <c r="J562" s="2" t="s">
        <v>92</v>
      </c>
      <c r="K562" s="2" t="s">
        <v>17</v>
      </c>
      <c r="L562" s="4">
        <f t="shared" si="16"/>
        <v>28000</v>
      </c>
      <c r="M562" t="str">
        <f t="shared" si="17"/>
        <v>Counted</v>
      </c>
    </row>
    <row r="563" spans="1:13" x14ac:dyDescent="0.25">
      <c r="A563" s="2" t="s">
        <v>798</v>
      </c>
      <c r="B563" s="3">
        <v>46383</v>
      </c>
      <c r="C563" s="3" t="s">
        <v>851</v>
      </c>
      <c r="D563" s="2" t="s">
        <v>24</v>
      </c>
      <c r="E563" s="2" t="s">
        <v>111</v>
      </c>
      <c r="F563" s="2" t="s">
        <v>73</v>
      </c>
      <c r="G563" s="2" t="s">
        <v>15</v>
      </c>
      <c r="H563" s="2">
        <v>1</v>
      </c>
      <c r="I563" s="4">
        <v>18000</v>
      </c>
      <c r="J563" s="2" t="s">
        <v>22</v>
      </c>
      <c r="K563" s="2" t="s">
        <v>17</v>
      </c>
      <c r="L563" s="4">
        <f t="shared" si="16"/>
        <v>18000</v>
      </c>
      <c r="M563" t="str">
        <f t="shared" si="17"/>
        <v>Counted</v>
      </c>
    </row>
    <row r="564" spans="1:13" x14ac:dyDescent="0.25">
      <c r="A564" s="2" t="s">
        <v>799</v>
      </c>
      <c r="B564" s="3">
        <v>46383</v>
      </c>
      <c r="C564" s="3" t="s">
        <v>851</v>
      </c>
      <c r="D564" s="2" t="s">
        <v>12</v>
      </c>
      <c r="E564" s="2" t="s">
        <v>311</v>
      </c>
      <c r="F564" s="2" t="s">
        <v>117</v>
      </c>
      <c r="G564" s="2" t="s">
        <v>46</v>
      </c>
      <c r="H564" s="2">
        <v>1</v>
      </c>
      <c r="I564" s="4">
        <v>2800</v>
      </c>
      <c r="J564" s="2" t="s">
        <v>22</v>
      </c>
      <c r="K564" s="2" t="s">
        <v>17</v>
      </c>
      <c r="L564" s="4">
        <f t="shared" si="16"/>
        <v>2800</v>
      </c>
      <c r="M564" t="str">
        <f t="shared" si="17"/>
        <v>Counted</v>
      </c>
    </row>
    <row r="565" spans="1:13" x14ac:dyDescent="0.25">
      <c r="A565" s="2" t="s">
        <v>800</v>
      </c>
      <c r="B565" s="3">
        <v>46384</v>
      </c>
      <c r="C565" s="3" t="s">
        <v>851</v>
      </c>
      <c r="D565" s="2" t="s">
        <v>24</v>
      </c>
      <c r="E565" s="2" t="s">
        <v>230</v>
      </c>
      <c r="F565" s="2" t="s">
        <v>102</v>
      </c>
      <c r="G565" s="2" t="s">
        <v>53</v>
      </c>
      <c r="H565" s="2">
        <v>1</v>
      </c>
      <c r="I565" s="4">
        <v>12500</v>
      </c>
      <c r="J565" s="2" t="s">
        <v>37</v>
      </c>
      <c r="K565" s="2" t="s">
        <v>107</v>
      </c>
      <c r="L565" s="4">
        <f t="shared" si="16"/>
        <v>12500</v>
      </c>
      <c r="M565" t="str">
        <f t="shared" si="17"/>
        <v>Not Counted</v>
      </c>
    </row>
    <row r="566" spans="1:13" x14ac:dyDescent="0.25">
      <c r="A566" s="2" t="s">
        <v>801</v>
      </c>
      <c r="B566" s="3">
        <v>46384</v>
      </c>
      <c r="C566" s="3" t="s">
        <v>851</v>
      </c>
      <c r="D566" s="2" t="s">
        <v>19</v>
      </c>
      <c r="E566" s="2" t="s">
        <v>802</v>
      </c>
      <c r="F566" s="2" t="s">
        <v>65</v>
      </c>
      <c r="G566" s="2" t="s">
        <v>36</v>
      </c>
      <c r="H566" s="2">
        <v>2</v>
      </c>
      <c r="I566" s="4">
        <v>28000</v>
      </c>
      <c r="J566" s="2" t="s">
        <v>27</v>
      </c>
      <c r="K566" s="2" t="s">
        <v>17</v>
      </c>
      <c r="L566" s="4">
        <f t="shared" si="16"/>
        <v>56000</v>
      </c>
      <c r="M566" t="str">
        <f t="shared" si="17"/>
        <v>Counted</v>
      </c>
    </row>
    <row r="567" spans="1:13" x14ac:dyDescent="0.25">
      <c r="A567" s="2" t="s">
        <v>803</v>
      </c>
      <c r="B567" s="3">
        <v>46384</v>
      </c>
      <c r="C567" s="3" t="s">
        <v>851</v>
      </c>
      <c r="D567" s="2" t="s">
        <v>30</v>
      </c>
      <c r="E567" s="2" t="s">
        <v>440</v>
      </c>
      <c r="F567" s="2" t="s">
        <v>40</v>
      </c>
      <c r="G567" s="2" t="s">
        <v>41</v>
      </c>
      <c r="H567" s="2">
        <v>1</v>
      </c>
      <c r="I567" s="4">
        <v>2400</v>
      </c>
      <c r="J567" s="2" t="s">
        <v>37</v>
      </c>
      <c r="K567" s="2" t="s">
        <v>17</v>
      </c>
      <c r="L567" s="4">
        <f t="shared" si="16"/>
        <v>2400</v>
      </c>
      <c r="M567" t="str">
        <f t="shared" si="17"/>
        <v>Counted</v>
      </c>
    </row>
    <row r="568" spans="1:13" x14ac:dyDescent="0.25">
      <c r="A568" s="2" t="s">
        <v>804</v>
      </c>
      <c r="B568" s="3">
        <v>46384</v>
      </c>
      <c r="C568" s="3" t="s">
        <v>851</v>
      </c>
      <c r="D568" s="2" t="s">
        <v>30</v>
      </c>
      <c r="E568" s="2" t="s">
        <v>695</v>
      </c>
      <c r="F568" s="2" t="s">
        <v>14</v>
      </c>
      <c r="G568" s="2" t="s">
        <v>15</v>
      </c>
      <c r="H568" s="2">
        <v>1</v>
      </c>
      <c r="I568" s="4">
        <v>65000</v>
      </c>
      <c r="J568" s="2" t="s">
        <v>16</v>
      </c>
      <c r="K568" s="2" t="s">
        <v>17</v>
      </c>
      <c r="L568" s="4">
        <f t="shared" si="16"/>
        <v>65000</v>
      </c>
      <c r="M568" t="str">
        <f t="shared" si="17"/>
        <v>Counted</v>
      </c>
    </row>
    <row r="569" spans="1:13" x14ac:dyDescent="0.25">
      <c r="A569" s="2" t="s">
        <v>805</v>
      </c>
      <c r="B569" s="3">
        <v>46384</v>
      </c>
      <c r="C569" s="3" t="s">
        <v>851</v>
      </c>
      <c r="D569" s="2" t="s">
        <v>24</v>
      </c>
      <c r="E569" s="2" t="s">
        <v>379</v>
      </c>
      <c r="F569" s="2" t="s">
        <v>21</v>
      </c>
      <c r="G569" s="2" t="s">
        <v>15</v>
      </c>
      <c r="H569" s="2">
        <v>1</v>
      </c>
      <c r="I569" s="4">
        <v>62000</v>
      </c>
      <c r="J569" s="2" t="s">
        <v>16</v>
      </c>
      <c r="K569" s="2" t="s">
        <v>17</v>
      </c>
      <c r="L569" s="4">
        <f t="shared" si="16"/>
        <v>62000</v>
      </c>
      <c r="M569" t="str">
        <f t="shared" si="17"/>
        <v>Counted</v>
      </c>
    </row>
    <row r="570" spans="1:13" x14ac:dyDescent="0.25">
      <c r="A570" s="2" t="s">
        <v>806</v>
      </c>
      <c r="B570" s="3">
        <v>46384</v>
      </c>
      <c r="C570" s="3" t="s">
        <v>851</v>
      </c>
      <c r="D570" s="2" t="s">
        <v>12</v>
      </c>
      <c r="E570" s="2" t="s">
        <v>726</v>
      </c>
      <c r="F570" s="2" t="s">
        <v>21</v>
      </c>
      <c r="G570" s="2" t="s">
        <v>15</v>
      </c>
      <c r="H570" s="2">
        <v>1</v>
      </c>
      <c r="I570" s="4">
        <v>62000</v>
      </c>
      <c r="J570" s="2" t="s">
        <v>92</v>
      </c>
      <c r="K570" s="2" t="s">
        <v>17</v>
      </c>
      <c r="L570" s="4">
        <f t="shared" si="16"/>
        <v>62000</v>
      </c>
      <c r="M570" t="str">
        <f t="shared" si="17"/>
        <v>Counted</v>
      </c>
    </row>
    <row r="571" spans="1:13" x14ac:dyDescent="0.25">
      <c r="A571" s="2" t="s">
        <v>807</v>
      </c>
      <c r="B571" s="3">
        <v>46384</v>
      </c>
      <c r="C571" s="3" t="s">
        <v>851</v>
      </c>
      <c r="D571" s="2" t="s">
        <v>24</v>
      </c>
      <c r="E571" s="2" t="s">
        <v>141</v>
      </c>
      <c r="F571" s="2" t="s">
        <v>40</v>
      </c>
      <c r="G571" s="2" t="s">
        <v>41</v>
      </c>
      <c r="H571" s="2">
        <v>1</v>
      </c>
      <c r="I571" s="4">
        <v>2400</v>
      </c>
      <c r="J571" s="2" t="s">
        <v>92</v>
      </c>
      <c r="K571" s="2" t="s">
        <v>17</v>
      </c>
      <c r="L571" s="4">
        <f t="shared" si="16"/>
        <v>2400</v>
      </c>
      <c r="M571" t="str">
        <f t="shared" si="17"/>
        <v>Counted</v>
      </c>
    </row>
    <row r="572" spans="1:13" x14ac:dyDescent="0.25">
      <c r="A572" s="2" t="s">
        <v>808</v>
      </c>
      <c r="B572" s="3">
        <v>46384</v>
      </c>
      <c r="C572" s="3" t="s">
        <v>851</v>
      </c>
      <c r="D572" s="2" t="s">
        <v>24</v>
      </c>
      <c r="E572" s="2" t="s">
        <v>780</v>
      </c>
      <c r="F572" s="2" t="s">
        <v>52</v>
      </c>
      <c r="G572" s="2" t="s">
        <v>53</v>
      </c>
      <c r="H572" s="2">
        <v>1</v>
      </c>
      <c r="I572" s="4">
        <v>8500</v>
      </c>
      <c r="J572" s="2" t="s">
        <v>92</v>
      </c>
      <c r="K572" s="2" t="s">
        <v>17</v>
      </c>
      <c r="L572" s="4">
        <f t="shared" si="16"/>
        <v>8500</v>
      </c>
      <c r="M572" t="str">
        <f t="shared" si="17"/>
        <v>Counted</v>
      </c>
    </row>
    <row r="573" spans="1:13" x14ac:dyDescent="0.25">
      <c r="A573" s="2" t="s">
        <v>809</v>
      </c>
      <c r="B573" s="3">
        <v>46384</v>
      </c>
      <c r="C573" s="3" t="s">
        <v>851</v>
      </c>
      <c r="D573" s="2" t="s">
        <v>30</v>
      </c>
      <c r="E573" s="2" t="s">
        <v>780</v>
      </c>
      <c r="F573" s="2" t="s">
        <v>35</v>
      </c>
      <c r="G573" s="2" t="s">
        <v>36</v>
      </c>
      <c r="H573" s="2">
        <v>1</v>
      </c>
      <c r="I573" s="4">
        <v>12000</v>
      </c>
      <c r="J573" s="2" t="s">
        <v>37</v>
      </c>
      <c r="K573" s="2" t="s">
        <v>17</v>
      </c>
      <c r="L573" s="4">
        <f t="shared" si="16"/>
        <v>12000</v>
      </c>
      <c r="M573" t="str">
        <f t="shared" si="17"/>
        <v>Counted</v>
      </c>
    </row>
    <row r="574" spans="1:13" x14ac:dyDescent="0.25">
      <c r="A574" s="2" t="s">
        <v>810</v>
      </c>
      <c r="B574" s="3">
        <v>46384</v>
      </c>
      <c r="C574" s="3" t="s">
        <v>851</v>
      </c>
      <c r="D574" s="2" t="s">
        <v>24</v>
      </c>
      <c r="E574" s="2" t="s">
        <v>157</v>
      </c>
      <c r="F574" s="2" t="s">
        <v>102</v>
      </c>
      <c r="G574" s="2" t="s">
        <v>53</v>
      </c>
      <c r="H574" s="2">
        <v>1</v>
      </c>
      <c r="I574" s="4">
        <v>12500</v>
      </c>
      <c r="J574" s="2" t="s">
        <v>27</v>
      </c>
      <c r="K574" s="2" t="s">
        <v>17</v>
      </c>
      <c r="L574" s="4">
        <f t="shared" si="16"/>
        <v>12500</v>
      </c>
      <c r="M574" t="str">
        <f t="shared" si="17"/>
        <v>Counted</v>
      </c>
    </row>
    <row r="575" spans="1:13" x14ac:dyDescent="0.25">
      <c r="A575" s="2" t="s">
        <v>811</v>
      </c>
      <c r="B575" s="3">
        <v>46385</v>
      </c>
      <c r="C575" s="3" t="s">
        <v>851</v>
      </c>
      <c r="D575" s="2" t="s">
        <v>24</v>
      </c>
      <c r="E575" s="2" t="s">
        <v>657</v>
      </c>
      <c r="F575" s="2" t="s">
        <v>87</v>
      </c>
      <c r="G575" s="2" t="s">
        <v>46</v>
      </c>
      <c r="H575" s="2">
        <v>1</v>
      </c>
      <c r="I575" s="4">
        <v>1600</v>
      </c>
      <c r="J575" s="2" t="s">
        <v>37</v>
      </c>
      <c r="K575" s="2" t="s">
        <v>17</v>
      </c>
      <c r="L575" s="4">
        <f t="shared" si="16"/>
        <v>1600</v>
      </c>
      <c r="M575" t="str">
        <f t="shared" si="17"/>
        <v>Counted</v>
      </c>
    </row>
    <row r="576" spans="1:13" x14ac:dyDescent="0.25">
      <c r="A576" s="2" t="s">
        <v>812</v>
      </c>
      <c r="B576" s="3">
        <v>46385</v>
      </c>
      <c r="C576" s="3" t="s">
        <v>851</v>
      </c>
      <c r="D576" s="2" t="s">
        <v>12</v>
      </c>
      <c r="E576" s="2" t="s">
        <v>200</v>
      </c>
      <c r="F576" s="2" t="s">
        <v>68</v>
      </c>
      <c r="G576" s="2" t="s">
        <v>41</v>
      </c>
      <c r="H576" s="2">
        <v>1</v>
      </c>
      <c r="I576" s="4">
        <v>1500</v>
      </c>
      <c r="J576" s="2" t="s">
        <v>16</v>
      </c>
      <c r="K576" s="2" t="s">
        <v>17</v>
      </c>
      <c r="L576" s="4">
        <f t="shared" si="16"/>
        <v>1500</v>
      </c>
      <c r="M576" t="str">
        <f t="shared" si="17"/>
        <v>Counted</v>
      </c>
    </row>
    <row r="577" spans="1:13" x14ac:dyDescent="0.25">
      <c r="A577" s="2" t="s">
        <v>813</v>
      </c>
      <c r="B577" s="3">
        <v>46385</v>
      </c>
      <c r="C577" s="3" t="s">
        <v>851</v>
      </c>
      <c r="D577" s="2" t="s">
        <v>12</v>
      </c>
      <c r="E577" s="2" t="s">
        <v>31</v>
      </c>
      <c r="F577" s="2" t="s">
        <v>191</v>
      </c>
      <c r="G577" s="2" t="s">
        <v>41</v>
      </c>
      <c r="H577" s="2">
        <v>1</v>
      </c>
      <c r="I577" s="4">
        <v>1800</v>
      </c>
      <c r="J577" s="2" t="s">
        <v>92</v>
      </c>
      <c r="K577" s="2" t="s">
        <v>42</v>
      </c>
      <c r="L577" s="4">
        <f t="shared" si="16"/>
        <v>1800</v>
      </c>
      <c r="M577" t="str">
        <f t="shared" si="17"/>
        <v>Not Counted</v>
      </c>
    </row>
    <row r="578" spans="1:13" x14ac:dyDescent="0.25">
      <c r="A578" s="2" t="s">
        <v>814</v>
      </c>
      <c r="B578" s="3">
        <v>46385</v>
      </c>
      <c r="C578" s="3" t="s">
        <v>851</v>
      </c>
      <c r="D578" s="2" t="s">
        <v>30</v>
      </c>
      <c r="E578" s="2" t="s">
        <v>302</v>
      </c>
      <c r="F578" s="2" t="s">
        <v>117</v>
      </c>
      <c r="G578" s="2" t="s">
        <v>46</v>
      </c>
      <c r="H578" s="2">
        <v>1</v>
      </c>
      <c r="I578" s="4">
        <v>2800</v>
      </c>
      <c r="J578" s="2" t="s">
        <v>27</v>
      </c>
      <c r="K578" s="2" t="s">
        <v>17</v>
      </c>
      <c r="L578" s="4">
        <f t="shared" ref="L578:L601" si="18">H578*I578</f>
        <v>2800</v>
      </c>
      <c r="M578" t="str">
        <f t="shared" si="17"/>
        <v>Counted</v>
      </c>
    </row>
    <row r="579" spans="1:13" x14ac:dyDescent="0.25">
      <c r="A579" s="2" t="s">
        <v>815</v>
      </c>
      <c r="B579" s="3">
        <v>46385</v>
      </c>
      <c r="C579" s="3" t="s">
        <v>851</v>
      </c>
      <c r="D579" s="2" t="s">
        <v>24</v>
      </c>
      <c r="E579" s="2" t="s">
        <v>269</v>
      </c>
      <c r="F579" s="2" t="s">
        <v>102</v>
      </c>
      <c r="G579" s="2" t="s">
        <v>53</v>
      </c>
      <c r="H579" s="2">
        <v>1</v>
      </c>
      <c r="I579" s="4">
        <v>12500</v>
      </c>
      <c r="J579" s="2" t="s">
        <v>22</v>
      </c>
      <c r="K579" s="2" t="s">
        <v>107</v>
      </c>
      <c r="L579" s="4">
        <f t="shared" si="18"/>
        <v>12500</v>
      </c>
      <c r="M579" t="s">
        <v>841</v>
      </c>
    </row>
    <row r="580" spans="1:13" x14ac:dyDescent="0.25">
      <c r="A580" s="2" t="s">
        <v>816</v>
      </c>
      <c r="B580" s="3">
        <v>46385</v>
      </c>
      <c r="C580" s="3" t="s">
        <v>851</v>
      </c>
      <c r="D580" s="2" t="s">
        <v>12</v>
      </c>
      <c r="E580" s="2" t="s">
        <v>149</v>
      </c>
      <c r="F580" s="2" t="s">
        <v>114</v>
      </c>
      <c r="G580" s="2" t="s">
        <v>36</v>
      </c>
      <c r="H580" s="2">
        <v>1</v>
      </c>
      <c r="I580" s="4">
        <v>9500</v>
      </c>
      <c r="J580" s="2" t="s">
        <v>27</v>
      </c>
      <c r="K580" s="2" t="s">
        <v>42</v>
      </c>
      <c r="L580" s="4">
        <f t="shared" si="18"/>
        <v>9500</v>
      </c>
      <c r="M580" t="s">
        <v>841</v>
      </c>
    </row>
    <row r="581" spans="1:13" x14ac:dyDescent="0.25">
      <c r="A581" s="2" t="s">
        <v>817</v>
      </c>
      <c r="B581" s="3">
        <v>46385</v>
      </c>
      <c r="C581" s="3" t="s">
        <v>851</v>
      </c>
      <c r="D581" s="2" t="s">
        <v>24</v>
      </c>
      <c r="E581" s="2" t="s">
        <v>483</v>
      </c>
      <c r="F581" s="2" t="s">
        <v>114</v>
      </c>
      <c r="G581" s="2" t="s">
        <v>36</v>
      </c>
      <c r="H581" s="2">
        <v>1</v>
      </c>
      <c r="I581" s="4">
        <v>9500</v>
      </c>
      <c r="J581" s="2" t="s">
        <v>27</v>
      </c>
      <c r="K581" s="2" t="s">
        <v>17</v>
      </c>
      <c r="L581" s="4">
        <f t="shared" si="18"/>
        <v>9500</v>
      </c>
      <c r="M581" t="s">
        <v>842</v>
      </c>
    </row>
    <row r="582" spans="1:13" x14ac:dyDescent="0.25">
      <c r="A582" s="2" t="s">
        <v>818</v>
      </c>
      <c r="B582" s="3">
        <v>46385</v>
      </c>
      <c r="C582" s="3" t="s">
        <v>851</v>
      </c>
      <c r="D582" s="2" t="s">
        <v>12</v>
      </c>
      <c r="E582" s="2" t="s">
        <v>75</v>
      </c>
      <c r="F582" s="2" t="s">
        <v>84</v>
      </c>
      <c r="G582" s="2" t="s">
        <v>53</v>
      </c>
      <c r="H582" s="2">
        <v>2</v>
      </c>
      <c r="I582" s="4">
        <v>22000</v>
      </c>
      <c r="J582" s="2" t="s">
        <v>92</v>
      </c>
      <c r="K582" s="2" t="s">
        <v>17</v>
      </c>
      <c r="L582" s="4">
        <f t="shared" si="18"/>
        <v>44000</v>
      </c>
      <c r="M582" t="s">
        <v>842</v>
      </c>
    </row>
    <row r="583" spans="1:13" x14ac:dyDescent="0.25">
      <c r="A583" s="2" t="s">
        <v>819</v>
      </c>
      <c r="B583" s="3">
        <v>46385</v>
      </c>
      <c r="C583" s="3" t="s">
        <v>851</v>
      </c>
      <c r="D583" s="2" t="s">
        <v>24</v>
      </c>
      <c r="E583" s="2" t="s">
        <v>672</v>
      </c>
      <c r="F583" s="2" t="s">
        <v>152</v>
      </c>
      <c r="G583" s="2" t="s">
        <v>36</v>
      </c>
      <c r="H583" s="2">
        <v>2</v>
      </c>
      <c r="I583" s="4">
        <v>6500</v>
      </c>
      <c r="J583" s="2" t="s">
        <v>22</v>
      </c>
      <c r="K583" s="2" t="s">
        <v>28</v>
      </c>
      <c r="L583" s="4">
        <f t="shared" si="18"/>
        <v>13000</v>
      </c>
      <c r="M583" t="s">
        <v>842</v>
      </c>
    </row>
    <row r="584" spans="1:13" x14ac:dyDescent="0.25">
      <c r="A584" s="2" t="s">
        <v>820</v>
      </c>
      <c r="B584" s="3">
        <v>46385</v>
      </c>
      <c r="C584" s="3" t="s">
        <v>851</v>
      </c>
      <c r="D584" s="2" t="s">
        <v>19</v>
      </c>
      <c r="E584" s="2" t="s">
        <v>215</v>
      </c>
      <c r="F584" s="2" t="s">
        <v>133</v>
      </c>
      <c r="G584" s="2" t="s">
        <v>15</v>
      </c>
      <c r="H584" s="2">
        <v>1</v>
      </c>
      <c r="I584" s="4">
        <v>1800</v>
      </c>
      <c r="J584" s="2" t="s">
        <v>22</v>
      </c>
      <c r="K584" s="2" t="s">
        <v>17</v>
      </c>
      <c r="L584" s="4">
        <f t="shared" si="18"/>
        <v>1800</v>
      </c>
      <c r="M584" t="s">
        <v>842</v>
      </c>
    </row>
    <row r="585" spans="1:13" x14ac:dyDescent="0.25">
      <c r="A585" s="2" t="s">
        <v>821</v>
      </c>
      <c r="B585" s="3">
        <v>46385</v>
      </c>
      <c r="C585" s="3" t="s">
        <v>851</v>
      </c>
      <c r="D585" s="2" t="s">
        <v>30</v>
      </c>
      <c r="E585" s="2" t="s">
        <v>369</v>
      </c>
      <c r="F585" s="2" t="s">
        <v>191</v>
      </c>
      <c r="G585" s="2" t="s">
        <v>41</v>
      </c>
      <c r="H585" s="2">
        <v>2</v>
      </c>
      <c r="I585" s="4">
        <v>1800</v>
      </c>
      <c r="J585" s="2" t="s">
        <v>22</v>
      </c>
      <c r="K585" s="2" t="s">
        <v>28</v>
      </c>
      <c r="L585" s="4">
        <f t="shared" si="18"/>
        <v>3600</v>
      </c>
      <c r="M585" t="s">
        <v>842</v>
      </c>
    </row>
    <row r="586" spans="1:13" x14ac:dyDescent="0.25">
      <c r="A586" s="2" t="s">
        <v>822</v>
      </c>
      <c r="B586" s="3">
        <v>46385</v>
      </c>
      <c r="C586" s="3" t="s">
        <v>851</v>
      </c>
      <c r="D586" s="2" t="s">
        <v>19</v>
      </c>
      <c r="E586" s="2" t="s">
        <v>823</v>
      </c>
      <c r="F586" s="2" t="s">
        <v>133</v>
      </c>
      <c r="G586" s="2" t="s">
        <v>15</v>
      </c>
      <c r="H586" s="2">
        <v>1</v>
      </c>
      <c r="I586" s="4">
        <v>1800</v>
      </c>
      <c r="J586" s="2" t="s">
        <v>92</v>
      </c>
      <c r="K586" s="2" t="s">
        <v>17</v>
      </c>
      <c r="L586" s="4">
        <f t="shared" si="18"/>
        <v>1800</v>
      </c>
      <c r="M586" t="s">
        <v>842</v>
      </c>
    </row>
    <row r="587" spans="1:13" x14ac:dyDescent="0.25">
      <c r="A587" s="2" t="s">
        <v>824</v>
      </c>
      <c r="B587" s="3">
        <v>46386</v>
      </c>
      <c r="C587" s="3" t="s">
        <v>851</v>
      </c>
      <c r="D587" s="2" t="s">
        <v>12</v>
      </c>
      <c r="E587" s="2" t="s">
        <v>283</v>
      </c>
      <c r="F587" s="2" t="s">
        <v>40</v>
      </c>
      <c r="G587" s="2" t="s">
        <v>41</v>
      </c>
      <c r="H587" s="2">
        <v>2</v>
      </c>
      <c r="I587" s="4">
        <v>2400</v>
      </c>
      <c r="J587" s="2" t="s">
        <v>37</v>
      </c>
      <c r="K587" s="2" t="s">
        <v>28</v>
      </c>
      <c r="L587" s="4">
        <f t="shared" si="18"/>
        <v>4800</v>
      </c>
      <c r="M587" t="s">
        <v>842</v>
      </c>
    </row>
    <row r="588" spans="1:13" x14ac:dyDescent="0.25">
      <c r="A588" s="2" t="s">
        <v>825</v>
      </c>
      <c r="B588" s="3">
        <v>46386</v>
      </c>
      <c r="C588" s="3" t="s">
        <v>851</v>
      </c>
      <c r="D588" s="2" t="s">
        <v>19</v>
      </c>
      <c r="E588" s="2" t="s">
        <v>369</v>
      </c>
      <c r="F588" s="2" t="s">
        <v>32</v>
      </c>
      <c r="G588" s="2" t="s">
        <v>15</v>
      </c>
      <c r="H588" s="2">
        <v>1</v>
      </c>
      <c r="I588" s="4">
        <v>52000</v>
      </c>
      <c r="J588" s="2" t="s">
        <v>37</v>
      </c>
      <c r="K588" s="2" t="s">
        <v>17</v>
      </c>
      <c r="L588" s="4">
        <f t="shared" si="18"/>
        <v>52000</v>
      </c>
      <c r="M588" t="s">
        <v>842</v>
      </c>
    </row>
    <row r="589" spans="1:13" x14ac:dyDescent="0.25">
      <c r="A589" s="2" t="s">
        <v>826</v>
      </c>
      <c r="B589" s="3">
        <v>46386</v>
      </c>
      <c r="C589" s="3" t="s">
        <v>851</v>
      </c>
      <c r="D589" s="2" t="s">
        <v>24</v>
      </c>
      <c r="E589" s="2" t="s">
        <v>31</v>
      </c>
      <c r="F589" s="2" t="s">
        <v>95</v>
      </c>
      <c r="G589" s="2" t="s">
        <v>15</v>
      </c>
      <c r="H589" s="2">
        <v>1</v>
      </c>
      <c r="I589" s="4">
        <v>58000</v>
      </c>
      <c r="J589" s="2" t="s">
        <v>92</v>
      </c>
      <c r="K589" s="2" t="s">
        <v>17</v>
      </c>
      <c r="L589" s="4">
        <f t="shared" si="18"/>
        <v>58000</v>
      </c>
      <c r="M589" t="s">
        <v>842</v>
      </c>
    </row>
    <row r="590" spans="1:13" x14ac:dyDescent="0.25">
      <c r="A590" s="2" t="s">
        <v>827</v>
      </c>
      <c r="B590" s="3">
        <v>46386</v>
      </c>
      <c r="C590" s="3" t="s">
        <v>851</v>
      </c>
      <c r="D590" s="2" t="s">
        <v>30</v>
      </c>
      <c r="E590" s="2" t="s">
        <v>106</v>
      </c>
      <c r="F590" s="2" t="s">
        <v>84</v>
      </c>
      <c r="G590" s="2" t="s">
        <v>53</v>
      </c>
      <c r="H590" s="2">
        <v>1</v>
      </c>
      <c r="I590" s="4">
        <v>22000</v>
      </c>
      <c r="J590" s="2" t="s">
        <v>37</v>
      </c>
      <c r="K590" s="2" t="s">
        <v>17</v>
      </c>
      <c r="L590" s="4">
        <f t="shared" si="18"/>
        <v>22000</v>
      </c>
      <c r="M590" t="s">
        <v>842</v>
      </c>
    </row>
    <row r="591" spans="1:13" x14ac:dyDescent="0.25">
      <c r="A591" s="2" t="s">
        <v>828</v>
      </c>
      <c r="B591" s="3">
        <v>46386</v>
      </c>
      <c r="C591" s="3" t="s">
        <v>851</v>
      </c>
      <c r="D591" s="2" t="s">
        <v>12</v>
      </c>
      <c r="E591" s="2" t="s">
        <v>123</v>
      </c>
      <c r="F591" s="2" t="s">
        <v>59</v>
      </c>
      <c r="G591" s="2" t="s">
        <v>53</v>
      </c>
      <c r="H591" s="2">
        <v>2</v>
      </c>
      <c r="I591" s="4">
        <v>3800</v>
      </c>
      <c r="J591" s="2" t="s">
        <v>92</v>
      </c>
      <c r="K591" s="2" t="s">
        <v>17</v>
      </c>
      <c r="L591" s="4">
        <f t="shared" si="18"/>
        <v>7600</v>
      </c>
      <c r="M591" t="s">
        <v>842</v>
      </c>
    </row>
    <row r="592" spans="1:13" x14ac:dyDescent="0.25">
      <c r="A592" s="2" t="s">
        <v>829</v>
      </c>
      <c r="B592" s="3">
        <v>46386</v>
      </c>
      <c r="C592" s="3" t="s">
        <v>851</v>
      </c>
      <c r="D592" s="2" t="s">
        <v>19</v>
      </c>
      <c r="E592" s="2" t="s">
        <v>159</v>
      </c>
      <c r="F592" s="2" t="s">
        <v>152</v>
      </c>
      <c r="G592" s="2" t="s">
        <v>36</v>
      </c>
      <c r="H592" s="2">
        <v>1</v>
      </c>
      <c r="I592" s="4">
        <v>6500</v>
      </c>
      <c r="J592" s="2" t="s">
        <v>37</v>
      </c>
      <c r="K592" s="2" t="s">
        <v>17</v>
      </c>
      <c r="L592" s="4">
        <f t="shared" si="18"/>
        <v>6500</v>
      </c>
      <c r="M592" t="s">
        <v>842</v>
      </c>
    </row>
    <row r="593" spans="1:13" x14ac:dyDescent="0.25">
      <c r="A593" s="2" t="s">
        <v>830</v>
      </c>
      <c r="B593" s="3">
        <v>46386</v>
      </c>
      <c r="C593" s="3" t="s">
        <v>851</v>
      </c>
      <c r="D593" s="2" t="s">
        <v>30</v>
      </c>
      <c r="E593" s="2" t="s">
        <v>121</v>
      </c>
      <c r="F593" s="2" t="s">
        <v>87</v>
      </c>
      <c r="G593" s="2" t="s">
        <v>46</v>
      </c>
      <c r="H593" s="2">
        <v>1</v>
      </c>
      <c r="I593" s="4">
        <v>1600</v>
      </c>
      <c r="J593" s="2" t="s">
        <v>37</v>
      </c>
      <c r="K593" s="2" t="s">
        <v>42</v>
      </c>
      <c r="L593" s="4">
        <f t="shared" si="18"/>
        <v>1600</v>
      </c>
      <c r="M593" t="s">
        <v>841</v>
      </c>
    </row>
    <row r="594" spans="1:13" x14ac:dyDescent="0.25">
      <c r="A594" s="2" t="s">
        <v>831</v>
      </c>
      <c r="B594" s="3">
        <v>46387</v>
      </c>
      <c r="C594" s="3" t="s">
        <v>851</v>
      </c>
      <c r="D594" s="2" t="s">
        <v>19</v>
      </c>
      <c r="E594" s="2" t="s">
        <v>190</v>
      </c>
      <c r="F594" s="2" t="s">
        <v>133</v>
      </c>
      <c r="G594" s="2" t="s">
        <v>15</v>
      </c>
      <c r="H594" s="2">
        <v>1</v>
      </c>
      <c r="I594" s="4">
        <v>1800</v>
      </c>
      <c r="J594" s="2" t="s">
        <v>22</v>
      </c>
      <c r="K594" s="2" t="s">
        <v>107</v>
      </c>
      <c r="L594" s="4">
        <f t="shared" si="18"/>
        <v>1800</v>
      </c>
      <c r="M594" t="s">
        <v>841</v>
      </c>
    </row>
    <row r="595" spans="1:13" x14ac:dyDescent="0.25">
      <c r="A595" s="2" t="s">
        <v>832</v>
      </c>
      <c r="B595" s="3">
        <v>46387</v>
      </c>
      <c r="C595" s="3" t="s">
        <v>851</v>
      </c>
      <c r="D595" s="2" t="s">
        <v>19</v>
      </c>
      <c r="E595" s="2" t="s">
        <v>620</v>
      </c>
      <c r="F595" s="2" t="s">
        <v>21</v>
      </c>
      <c r="G595" s="2" t="s">
        <v>15</v>
      </c>
      <c r="H595" s="2">
        <v>1</v>
      </c>
      <c r="I595" s="4">
        <v>62000</v>
      </c>
      <c r="J595" s="2" t="s">
        <v>27</v>
      </c>
      <c r="K595" s="2" t="s">
        <v>17</v>
      </c>
      <c r="L595" s="4">
        <f t="shared" si="18"/>
        <v>62000</v>
      </c>
      <c r="M595" t="s">
        <v>842</v>
      </c>
    </row>
    <row r="596" spans="1:13" x14ac:dyDescent="0.25">
      <c r="A596" s="2" t="s">
        <v>833</v>
      </c>
      <c r="B596" s="3">
        <v>46387</v>
      </c>
      <c r="C596" s="3" t="s">
        <v>851</v>
      </c>
      <c r="D596" s="2" t="s">
        <v>19</v>
      </c>
      <c r="E596" s="2" t="s">
        <v>129</v>
      </c>
      <c r="F596" s="2" t="s">
        <v>62</v>
      </c>
      <c r="G596" s="2" t="s">
        <v>41</v>
      </c>
      <c r="H596" s="2">
        <v>2</v>
      </c>
      <c r="I596" s="4">
        <v>2200</v>
      </c>
      <c r="J596" s="2" t="s">
        <v>37</v>
      </c>
      <c r="K596" s="2" t="s">
        <v>17</v>
      </c>
      <c r="L596" s="4">
        <f t="shared" si="18"/>
        <v>4400</v>
      </c>
      <c r="M596" t="s">
        <v>842</v>
      </c>
    </row>
    <row r="597" spans="1:13" x14ac:dyDescent="0.25">
      <c r="A597" s="2" t="s">
        <v>834</v>
      </c>
      <c r="B597" s="3">
        <v>46387</v>
      </c>
      <c r="C597" s="3" t="s">
        <v>851</v>
      </c>
      <c r="D597" s="2" t="s">
        <v>12</v>
      </c>
      <c r="E597" s="2" t="s">
        <v>116</v>
      </c>
      <c r="F597" s="2" t="s">
        <v>26</v>
      </c>
      <c r="G597" s="2" t="s">
        <v>15</v>
      </c>
      <c r="H597" s="2">
        <v>2</v>
      </c>
      <c r="I597" s="4">
        <v>24000</v>
      </c>
      <c r="J597" s="2" t="s">
        <v>16</v>
      </c>
      <c r="K597" s="2" t="s">
        <v>17</v>
      </c>
      <c r="L597" s="4">
        <f t="shared" si="18"/>
        <v>48000</v>
      </c>
      <c r="M597" t="s">
        <v>842</v>
      </c>
    </row>
    <row r="598" spans="1:13" x14ac:dyDescent="0.25">
      <c r="A598" s="2" t="s">
        <v>835</v>
      </c>
      <c r="B598" s="3">
        <v>46387</v>
      </c>
      <c r="C598" s="3" t="s">
        <v>851</v>
      </c>
      <c r="D598" s="2" t="s">
        <v>12</v>
      </c>
      <c r="E598" s="2" t="s">
        <v>711</v>
      </c>
      <c r="F598" s="2" t="s">
        <v>49</v>
      </c>
      <c r="G598" s="2" t="s">
        <v>46</v>
      </c>
      <c r="H598" s="2">
        <v>1</v>
      </c>
      <c r="I598" s="4">
        <v>5000</v>
      </c>
      <c r="J598" s="2" t="s">
        <v>37</v>
      </c>
      <c r="K598" s="2" t="s">
        <v>17</v>
      </c>
      <c r="L598" s="4">
        <f t="shared" si="18"/>
        <v>5000</v>
      </c>
      <c r="M598" t="s">
        <v>842</v>
      </c>
    </row>
    <row r="599" spans="1:13" x14ac:dyDescent="0.25">
      <c r="A599" s="2" t="s">
        <v>836</v>
      </c>
      <c r="B599" s="3">
        <v>46387</v>
      </c>
      <c r="C599" s="3" t="s">
        <v>851</v>
      </c>
      <c r="D599" s="2" t="s">
        <v>19</v>
      </c>
      <c r="E599" s="2" t="s">
        <v>429</v>
      </c>
      <c r="F599" s="2" t="s">
        <v>45</v>
      </c>
      <c r="G599" s="2" t="s">
        <v>46</v>
      </c>
      <c r="H599" s="2">
        <v>1</v>
      </c>
      <c r="I599" s="4">
        <v>3500</v>
      </c>
      <c r="J599" s="2" t="s">
        <v>16</v>
      </c>
      <c r="K599" s="2" t="s">
        <v>17</v>
      </c>
      <c r="L599" s="4">
        <f t="shared" si="18"/>
        <v>3500</v>
      </c>
      <c r="M599" t="s">
        <v>842</v>
      </c>
    </row>
    <row r="600" spans="1:13" x14ac:dyDescent="0.25">
      <c r="A600" s="2" t="s">
        <v>837</v>
      </c>
      <c r="B600" s="3">
        <v>46387</v>
      </c>
      <c r="C600" s="3" t="s">
        <v>851</v>
      </c>
      <c r="D600" s="2" t="s">
        <v>24</v>
      </c>
      <c r="E600" s="2" t="s">
        <v>468</v>
      </c>
      <c r="F600" s="2" t="s">
        <v>73</v>
      </c>
      <c r="G600" s="2" t="s">
        <v>15</v>
      </c>
      <c r="H600" s="2">
        <v>1</v>
      </c>
      <c r="I600" s="4">
        <v>18000</v>
      </c>
      <c r="J600" s="2" t="s">
        <v>27</v>
      </c>
      <c r="K600" s="2" t="s">
        <v>17</v>
      </c>
      <c r="L600" s="4">
        <f t="shared" si="18"/>
        <v>18000</v>
      </c>
      <c r="M600" t="s">
        <v>842</v>
      </c>
    </row>
    <row r="601" spans="1:13" x14ac:dyDescent="0.25">
      <c r="A601" s="2" t="s">
        <v>838</v>
      </c>
      <c r="B601" s="3">
        <v>46387</v>
      </c>
      <c r="C601" s="3" t="s">
        <v>851</v>
      </c>
      <c r="D601" s="2" t="s">
        <v>19</v>
      </c>
      <c r="E601" s="2" t="s">
        <v>157</v>
      </c>
      <c r="F601" s="2" t="s">
        <v>59</v>
      </c>
      <c r="G601" s="2" t="s">
        <v>53</v>
      </c>
      <c r="H601" s="2">
        <v>1</v>
      </c>
      <c r="I601" s="4">
        <v>3800</v>
      </c>
      <c r="J601" s="2" t="s">
        <v>22</v>
      </c>
      <c r="K601" s="2" t="s">
        <v>17</v>
      </c>
      <c r="L601" s="4">
        <f t="shared" si="18"/>
        <v>3800</v>
      </c>
      <c r="M601" t="s">
        <v>842</v>
      </c>
    </row>
    <row r="603" spans="1:13" x14ac:dyDescent="0.25">
      <c r="A603" s="5"/>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3"/>
  <sheetViews>
    <sheetView showGridLines="0" tabSelected="1" zoomScaleNormal="100" workbookViewId="0">
      <selection activeCell="T6" sqref="T6"/>
    </sheetView>
  </sheetViews>
  <sheetFormatPr defaultRowHeight="15" x14ac:dyDescent="0.25"/>
  <sheetData>
    <row r="1" spans="1:21" ht="28.5" x14ac:dyDescent="0.25">
      <c r="A1" s="10" t="s">
        <v>852</v>
      </c>
      <c r="B1" s="10"/>
      <c r="C1" s="10"/>
      <c r="D1" s="10"/>
      <c r="E1" s="10"/>
      <c r="F1" s="10"/>
      <c r="G1" s="10"/>
      <c r="H1" s="10"/>
      <c r="I1" s="10"/>
      <c r="J1" s="10"/>
      <c r="K1" s="10"/>
      <c r="L1" s="10"/>
      <c r="M1" s="10"/>
      <c r="N1" s="10"/>
      <c r="O1" s="10"/>
      <c r="P1" s="10"/>
      <c r="Q1" s="10"/>
      <c r="R1" s="10"/>
      <c r="S1" s="10"/>
      <c r="T1" s="10"/>
      <c r="U1" s="10"/>
    </row>
    <row r="2" spans="1:21" x14ac:dyDescent="0.25">
      <c r="A2" s="9"/>
      <c r="B2" s="9"/>
      <c r="C2" s="9"/>
      <c r="D2" s="9"/>
      <c r="E2" s="9"/>
      <c r="F2" s="9"/>
      <c r="G2" s="9"/>
      <c r="H2" s="9"/>
      <c r="I2" s="9"/>
      <c r="J2" s="9"/>
      <c r="K2" s="9"/>
      <c r="L2" s="9"/>
      <c r="M2" s="9"/>
      <c r="N2" s="9"/>
      <c r="O2" s="9"/>
      <c r="P2" s="9"/>
      <c r="Q2" s="9"/>
      <c r="R2" s="9"/>
      <c r="S2" s="9"/>
      <c r="T2" s="9"/>
      <c r="U2" s="9"/>
    </row>
    <row r="3" spans="1:21" x14ac:dyDescent="0.25">
      <c r="A3" s="9"/>
      <c r="B3" s="9"/>
      <c r="C3" s="9"/>
      <c r="D3" s="9"/>
      <c r="E3" s="9"/>
      <c r="F3" s="9"/>
      <c r="G3" s="9"/>
      <c r="H3" s="9"/>
      <c r="I3" s="9"/>
      <c r="J3" s="9"/>
      <c r="K3" s="9"/>
      <c r="L3" s="9"/>
      <c r="M3" s="9"/>
      <c r="N3" s="9"/>
      <c r="O3" s="9"/>
      <c r="P3" s="9"/>
      <c r="Q3" s="9"/>
      <c r="R3" s="9"/>
      <c r="S3" s="9"/>
      <c r="T3" s="9"/>
      <c r="U3" s="9"/>
    </row>
    <row r="4" spans="1:21" x14ac:dyDescent="0.25">
      <c r="A4" s="9"/>
      <c r="B4" s="9"/>
      <c r="C4" s="9"/>
      <c r="D4" s="9"/>
      <c r="E4" s="9"/>
      <c r="F4" s="9"/>
      <c r="G4" s="9"/>
      <c r="H4" s="9"/>
      <c r="I4" s="9"/>
      <c r="J4" s="9"/>
      <c r="K4" s="9"/>
      <c r="L4" s="9"/>
      <c r="M4" s="9"/>
      <c r="N4" s="9"/>
      <c r="O4" s="9"/>
      <c r="P4" s="9"/>
      <c r="Q4" s="9"/>
      <c r="R4" s="9"/>
      <c r="S4" s="9"/>
      <c r="T4" s="9"/>
      <c r="U4" s="9"/>
    </row>
    <row r="5" spans="1:21" x14ac:dyDescent="0.25">
      <c r="A5" s="9"/>
      <c r="B5" s="9"/>
      <c r="C5" s="9"/>
      <c r="D5" s="9"/>
      <c r="E5" s="9"/>
      <c r="F5" s="9"/>
      <c r="G5" s="9"/>
      <c r="H5" s="9"/>
      <c r="I5" s="9"/>
      <c r="J5" s="9"/>
      <c r="K5" s="9"/>
      <c r="L5" s="9"/>
      <c r="M5" s="9"/>
      <c r="N5" s="9"/>
      <c r="O5" s="9"/>
      <c r="P5" s="9"/>
      <c r="Q5" s="9"/>
      <c r="R5" s="9"/>
      <c r="S5" s="9"/>
      <c r="T5" s="9"/>
      <c r="U5" s="9"/>
    </row>
    <row r="6" spans="1:21" x14ac:dyDescent="0.25">
      <c r="A6" s="9"/>
      <c r="B6" s="9"/>
      <c r="C6" s="9"/>
      <c r="D6" s="9"/>
      <c r="E6" s="9"/>
      <c r="F6" s="9"/>
      <c r="G6" s="9"/>
      <c r="H6" s="9"/>
      <c r="I6" s="9"/>
      <c r="J6" s="9"/>
      <c r="K6" s="9"/>
      <c r="L6" s="9"/>
      <c r="M6" s="9"/>
      <c r="N6" s="9"/>
      <c r="O6" s="9"/>
      <c r="P6" s="9"/>
      <c r="Q6" s="9"/>
      <c r="R6" s="9"/>
      <c r="S6" s="9"/>
      <c r="T6" s="9"/>
      <c r="U6" s="9"/>
    </row>
    <row r="7" spans="1:21" x14ac:dyDescent="0.25">
      <c r="A7" s="9"/>
      <c r="B7" s="9"/>
      <c r="C7" s="9"/>
      <c r="D7" s="9"/>
      <c r="E7" s="9"/>
      <c r="F7" s="9"/>
      <c r="G7" s="9"/>
      <c r="H7" s="9"/>
      <c r="I7" s="9"/>
      <c r="J7" s="9"/>
      <c r="K7" s="9"/>
      <c r="L7" s="9"/>
      <c r="M7" s="9"/>
      <c r="N7" s="9"/>
      <c r="O7" s="9"/>
      <c r="P7" s="9"/>
      <c r="Q7" s="9"/>
      <c r="R7" s="9"/>
      <c r="S7" s="9"/>
      <c r="T7" s="9"/>
      <c r="U7" s="9"/>
    </row>
    <row r="8" spans="1:21" x14ac:dyDescent="0.25">
      <c r="A8" s="9"/>
      <c r="B8" s="9"/>
      <c r="C8" s="9"/>
      <c r="D8" s="9"/>
      <c r="E8" s="9"/>
      <c r="F8" s="9"/>
      <c r="G8" s="9"/>
      <c r="H8" s="9"/>
      <c r="I8" s="9"/>
      <c r="J8" s="9"/>
      <c r="K8" s="9"/>
      <c r="L8" s="9"/>
      <c r="M8" s="9"/>
      <c r="N8" s="9"/>
      <c r="O8" s="9"/>
      <c r="P8" s="9"/>
      <c r="Q8" s="9"/>
      <c r="R8" s="9"/>
      <c r="S8" s="9"/>
      <c r="T8" s="9"/>
      <c r="U8" s="9"/>
    </row>
    <row r="9" spans="1:21" x14ac:dyDescent="0.25">
      <c r="A9" s="9"/>
      <c r="B9" s="9"/>
      <c r="C9" s="9"/>
      <c r="D9" s="9"/>
      <c r="E9" s="9"/>
      <c r="F9" s="9"/>
      <c r="G9" s="9"/>
      <c r="H9" s="9"/>
      <c r="I9" s="9"/>
      <c r="J9" s="9"/>
      <c r="K9" s="9"/>
      <c r="L9" s="9"/>
      <c r="M9" s="9"/>
      <c r="N9" s="9"/>
      <c r="O9" s="9"/>
      <c r="P9" s="9"/>
      <c r="Q9" s="9"/>
      <c r="R9" s="9"/>
      <c r="S9" s="9"/>
      <c r="T9" s="9"/>
      <c r="U9" s="9"/>
    </row>
    <row r="10" spans="1:21" x14ac:dyDescent="0.25">
      <c r="A10" s="9"/>
      <c r="B10" s="9"/>
      <c r="C10" s="9"/>
      <c r="D10" s="9"/>
      <c r="E10" s="9"/>
      <c r="F10" s="9"/>
      <c r="G10" s="9"/>
      <c r="H10" s="9"/>
      <c r="I10" s="9"/>
      <c r="J10" s="9"/>
      <c r="K10" s="9"/>
      <c r="L10" s="9"/>
      <c r="M10" s="9"/>
      <c r="N10" s="9"/>
      <c r="O10" s="9"/>
      <c r="P10" s="9"/>
      <c r="Q10" s="9"/>
      <c r="R10" s="9"/>
      <c r="S10" s="9"/>
      <c r="T10" s="9"/>
      <c r="U10" s="9"/>
    </row>
    <row r="11" spans="1:21" x14ac:dyDescent="0.25">
      <c r="A11" s="9"/>
      <c r="B11" s="9"/>
      <c r="C11" s="9"/>
      <c r="D11" s="9"/>
      <c r="E11" s="9"/>
      <c r="F11" s="9"/>
      <c r="G11" s="9"/>
      <c r="H11" s="9"/>
      <c r="I11" s="9"/>
      <c r="J11" s="9"/>
      <c r="K11" s="9"/>
      <c r="L11" s="9"/>
      <c r="M11" s="9"/>
      <c r="N11" s="9"/>
      <c r="O11" s="9"/>
      <c r="P11" s="9"/>
      <c r="Q11" s="9"/>
      <c r="R11" s="9"/>
      <c r="S11" s="9"/>
      <c r="T11" s="9"/>
      <c r="U11" s="9"/>
    </row>
    <row r="12" spans="1:21" x14ac:dyDescent="0.25">
      <c r="A12" s="9"/>
      <c r="B12" s="9"/>
      <c r="C12" s="9"/>
      <c r="D12" s="9"/>
      <c r="E12" s="9"/>
      <c r="F12" s="9"/>
      <c r="G12" s="9"/>
      <c r="H12" s="9"/>
      <c r="I12" s="9"/>
      <c r="J12" s="9"/>
      <c r="K12" s="9"/>
      <c r="L12" s="9"/>
      <c r="M12" s="9"/>
      <c r="N12" s="9"/>
      <c r="O12" s="9"/>
      <c r="P12" s="9"/>
      <c r="Q12" s="9"/>
      <c r="R12" s="9"/>
      <c r="S12" s="9"/>
      <c r="T12" s="9"/>
      <c r="U12" s="9"/>
    </row>
    <row r="13" spans="1:21" x14ac:dyDescent="0.25">
      <c r="A13" s="9"/>
      <c r="B13" s="9"/>
      <c r="C13" s="9"/>
      <c r="D13" s="9"/>
      <c r="E13" s="9"/>
      <c r="F13" s="9"/>
      <c r="G13" s="9"/>
      <c r="H13" s="9"/>
      <c r="I13" s="9"/>
      <c r="J13" s="9"/>
      <c r="K13" s="9"/>
      <c r="L13" s="9"/>
      <c r="M13" s="9"/>
      <c r="N13" s="9"/>
      <c r="O13" s="9"/>
      <c r="P13" s="9"/>
      <c r="Q13" s="9"/>
      <c r="R13" s="9"/>
      <c r="S13" s="9"/>
      <c r="T13" s="9"/>
      <c r="U13" s="9"/>
    </row>
    <row r="14" spans="1:21" x14ac:dyDescent="0.25">
      <c r="A14" s="9"/>
      <c r="B14" s="9"/>
      <c r="C14" s="9"/>
      <c r="D14" s="9"/>
      <c r="E14" s="9"/>
      <c r="F14" s="9"/>
      <c r="G14" s="9"/>
      <c r="H14" s="9"/>
      <c r="I14" s="9"/>
      <c r="J14" s="9"/>
      <c r="K14" s="9"/>
      <c r="L14" s="9"/>
      <c r="M14" s="9"/>
      <c r="N14" s="9"/>
      <c r="O14" s="9"/>
      <c r="P14" s="9"/>
      <c r="Q14" s="9"/>
      <c r="R14" s="9"/>
      <c r="S14" s="9"/>
      <c r="T14" s="9"/>
      <c r="U14" s="9"/>
    </row>
    <row r="15" spans="1:21" x14ac:dyDescent="0.25">
      <c r="A15" s="9"/>
      <c r="B15" s="9"/>
      <c r="C15" s="9"/>
      <c r="D15" s="9"/>
      <c r="E15" s="9"/>
      <c r="F15" s="9"/>
      <c r="G15" s="9"/>
      <c r="H15" s="9"/>
      <c r="I15" s="9"/>
      <c r="J15" s="9"/>
      <c r="K15" s="9"/>
      <c r="L15" s="9"/>
      <c r="M15" s="9"/>
      <c r="N15" s="9"/>
      <c r="O15" s="9"/>
      <c r="P15" s="9"/>
      <c r="Q15" s="9"/>
      <c r="R15" s="9"/>
      <c r="S15" s="9"/>
      <c r="T15" s="9"/>
      <c r="U15" s="9"/>
    </row>
    <row r="16" spans="1:21" x14ac:dyDescent="0.25">
      <c r="A16" s="9"/>
      <c r="B16" s="9"/>
      <c r="C16" s="9"/>
      <c r="D16" s="9"/>
      <c r="E16" s="9"/>
      <c r="F16" s="9"/>
      <c r="G16" s="9"/>
      <c r="H16" s="9"/>
      <c r="I16" s="9"/>
      <c r="J16" s="9"/>
      <c r="K16" s="9"/>
      <c r="L16" s="9"/>
      <c r="M16" s="9"/>
      <c r="N16" s="9"/>
      <c r="O16" s="9"/>
      <c r="P16" s="9"/>
      <c r="Q16" s="9"/>
      <c r="R16" s="9"/>
      <c r="S16" s="9"/>
      <c r="T16" s="9"/>
      <c r="U16" s="9"/>
    </row>
    <row r="17" spans="1:21" x14ac:dyDescent="0.25">
      <c r="A17" s="9"/>
      <c r="B17" s="9"/>
      <c r="C17" s="9"/>
      <c r="D17" s="9"/>
      <c r="E17" s="9"/>
      <c r="F17" s="9"/>
      <c r="G17" s="9"/>
      <c r="H17" s="9"/>
      <c r="I17" s="9"/>
      <c r="J17" s="9"/>
      <c r="K17" s="9"/>
      <c r="L17" s="9"/>
      <c r="M17" s="9"/>
      <c r="N17" s="9"/>
      <c r="O17" s="9"/>
      <c r="P17" s="9"/>
      <c r="Q17" s="9"/>
      <c r="R17" s="9"/>
      <c r="S17" s="9"/>
      <c r="T17" s="9"/>
      <c r="U17" s="9"/>
    </row>
    <row r="18" spans="1:21" x14ac:dyDescent="0.25">
      <c r="A18" s="9"/>
      <c r="B18" s="9"/>
      <c r="C18" s="9"/>
      <c r="D18" s="9"/>
      <c r="E18" s="9"/>
      <c r="F18" s="9"/>
      <c r="G18" s="9"/>
      <c r="H18" s="9"/>
      <c r="I18" s="9"/>
      <c r="J18" s="9"/>
      <c r="K18" s="9"/>
      <c r="L18" s="9"/>
      <c r="M18" s="9"/>
      <c r="N18" s="9"/>
      <c r="O18" s="9"/>
      <c r="P18" s="9"/>
      <c r="Q18" s="9"/>
      <c r="R18" s="9"/>
      <c r="S18" s="9"/>
      <c r="T18" s="9"/>
      <c r="U18" s="9"/>
    </row>
    <row r="19" spans="1:21" x14ac:dyDescent="0.25">
      <c r="A19" s="9"/>
      <c r="B19" s="9"/>
      <c r="C19" s="9"/>
      <c r="D19" s="9"/>
      <c r="E19" s="9"/>
      <c r="F19" s="9"/>
      <c r="G19" s="9"/>
      <c r="H19" s="9"/>
      <c r="I19" s="9"/>
      <c r="J19" s="9"/>
      <c r="K19" s="9"/>
      <c r="L19" s="9"/>
      <c r="M19" s="9"/>
      <c r="N19" s="9"/>
      <c r="O19" s="9"/>
      <c r="P19" s="9"/>
      <c r="Q19" s="9"/>
      <c r="R19" s="9"/>
      <c r="S19" s="9"/>
      <c r="T19" s="9"/>
      <c r="U19" s="9"/>
    </row>
    <row r="20" spans="1:21" x14ac:dyDescent="0.25">
      <c r="A20" s="9"/>
      <c r="B20" s="9"/>
      <c r="C20" s="9"/>
      <c r="D20" s="9"/>
      <c r="E20" s="9"/>
      <c r="F20" s="9"/>
      <c r="G20" s="9"/>
      <c r="H20" s="9"/>
      <c r="I20" s="9"/>
      <c r="J20" s="9"/>
      <c r="K20" s="9"/>
      <c r="L20" s="9"/>
      <c r="M20" s="9"/>
      <c r="N20" s="9"/>
      <c r="O20" s="9"/>
      <c r="P20" s="9"/>
      <c r="Q20" s="9"/>
      <c r="R20" s="9"/>
      <c r="S20" s="9"/>
      <c r="T20" s="9"/>
      <c r="U20" s="9"/>
    </row>
    <row r="21" spans="1:21" x14ac:dyDescent="0.25">
      <c r="A21" s="9"/>
      <c r="B21" s="9"/>
      <c r="C21" s="9"/>
      <c r="D21" s="9"/>
      <c r="E21" s="9"/>
      <c r="F21" s="9"/>
      <c r="G21" s="9"/>
      <c r="H21" s="9"/>
      <c r="I21" s="9"/>
      <c r="J21" s="9"/>
      <c r="K21" s="9"/>
      <c r="L21" s="9"/>
      <c r="M21" s="9"/>
      <c r="N21" s="9"/>
      <c r="O21" s="9"/>
      <c r="P21" s="9"/>
      <c r="Q21" s="9"/>
      <c r="R21" s="9"/>
      <c r="S21" s="9"/>
      <c r="T21" s="9"/>
      <c r="U21" s="9"/>
    </row>
    <row r="22" spans="1:21" x14ac:dyDescent="0.25">
      <c r="A22" s="9"/>
      <c r="B22" s="9"/>
      <c r="C22" s="9"/>
      <c r="D22" s="9"/>
      <c r="E22" s="9"/>
      <c r="F22" s="9"/>
      <c r="G22" s="9"/>
      <c r="H22" s="9"/>
      <c r="I22" s="9"/>
      <c r="J22" s="9"/>
      <c r="K22" s="9"/>
      <c r="L22" s="9"/>
      <c r="M22" s="9"/>
      <c r="N22" s="9"/>
      <c r="O22" s="9"/>
      <c r="P22" s="9"/>
      <c r="Q22" s="9"/>
      <c r="R22" s="9"/>
      <c r="S22" s="9"/>
      <c r="T22" s="9"/>
      <c r="U22" s="9"/>
    </row>
    <row r="23" spans="1:21" x14ac:dyDescent="0.25">
      <c r="A23" s="9"/>
      <c r="B23" s="9"/>
      <c r="C23" s="9"/>
      <c r="D23" s="9"/>
      <c r="E23" s="9"/>
      <c r="F23" s="9"/>
      <c r="G23" s="9"/>
      <c r="H23" s="9"/>
      <c r="I23" s="9"/>
      <c r="J23" s="9"/>
      <c r="K23" s="9"/>
      <c r="L23" s="9"/>
      <c r="M23" s="9"/>
      <c r="N23" s="9"/>
      <c r="O23" s="9"/>
      <c r="P23" s="9"/>
      <c r="Q23" s="9"/>
      <c r="R23" s="9"/>
      <c r="S23" s="9"/>
      <c r="T23" s="9"/>
      <c r="U23" s="9"/>
    </row>
  </sheetData>
  <mergeCells count="1">
    <mergeCell ref="A1:U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Flipkart_Data</vt:lpstr>
      <vt:lpstr>flipkart_sales_data_600</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cp:revision>0</cp:revision>
  <dcterms:created xsi:type="dcterms:W3CDTF">2026-09-24T06:34:27Z</dcterms:created>
  <dcterms:modified xsi:type="dcterms:W3CDTF">2026-09-27T04:57:10Z</dcterms:modified>
  <dc:language>en-US</dc:language>
</cp:coreProperties>
</file>